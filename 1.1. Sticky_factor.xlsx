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ia/Desktop/"/>
    </mc:Choice>
  </mc:AlternateContent>
  <xr:revisionPtr revIDLastSave="0" documentId="13_ncr:1_{F3D7D74B-2764-C347-8C3D-54601AE42BC2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Результат запроса" sheetId="1" r:id="rId1"/>
    <sheet name="wau" sheetId="2" r:id="rId2"/>
    <sheet name="mau" sheetId="4" r:id="rId3"/>
  </sheets>
  <definedNames>
    <definedName name="_xlnm._FilterDatabase" localSheetId="0" hidden="1">'Результат запроса'!$A$1:$B$1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H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2" i="2"/>
  <c r="B3" i="4"/>
  <c r="B4" i="4"/>
  <c r="B5" i="4"/>
  <c r="B6" i="4"/>
  <c r="B7" i="4"/>
  <c r="B8" i="4"/>
  <c r="B9" i="4"/>
  <c r="B10" i="4"/>
  <c r="B11" i="4"/>
  <c r="B2" i="4"/>
</calcChain>
</file>

<file path=xl/sharedStrings.xml><?xml version="1.0" encoding="utf-8"?>
<sst xmlns="http://schemas.openxmlformats.org/spreadsheetml/2006/main" count="16" uniqueCount="13">
  <si>
    <t>day</t>
  </si>
  <si>
    <t>DAU</t>
  </si>
  <si>
    <t>week</t>
  </si>
  <si>
    <t>month</t>
  </si>
  <si>
    <t>WAU</t>
  </si>
  <si>
    <t>MAU</t>
  </si>
  <si>
    <t>номнедели</t>
  </si>
  <si>
    <t>mau</t>
  </si>
  <si>
    <t>месяц</t>
  </si>
  <si>
    <t>SFW</t>
  </si>
  <si>
    <t>SFM</t>
  </si>
  <si>
    <t>Наблюдаем небольшой рост DAU и заметный прирост MAU и WAU в начале марта. Значит, маркетинговая акция сработала</t>
  </si>
  <si>
    <t>Sticky factor упал в первые недели марта. пусть уникальных пользователей и стало больше, пришли они только за "плюшками" от акции и не задержались в нашей игре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</si>
</sst>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DAU, MAU, WAU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запроса'!$B$1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запроса'!$B$2:$B$304</c:f>
              <c:numCache>
                <c:formatCode>#,##0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A-794E-AAE4-91AEB8ECA58F}"/>
            </c:ext>
          </c:extLst>
        </c:ser>
        <c:ser>
          <c:idx val="1"/>
          <c:order val="1"/>
          <c:tx>
            <c:strRef>
              <c:f>'Результат запроса'!$E$1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запроса'!$E$2:$E$304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8A-794E-AAE4-91AEB8ECA58F}"/>
            </c:ext>
          </c:extLst>
        </c:ser>
        <c:ser>
          <c:idx val="2"/>
          <c:order val="2"/>
          <c:tx>
            <c:strRef>
              <c:f>'Результат запроса'!$F$1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запроса'!$F$2:$F$304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8A-794E-AAE4-91AEB8ECA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281759"/>
        <c:axId val="61776800"/>
      </c:lineChart>
      <c:dateAx>
        <c:axId val="2472817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76800"/>
        <c:crosses val="autoZero"/>
        <c:auto val="1"/>
        <c:lblOffset val="100"/>
        <c:baseTimeUnit val="days"/>
      </c:dateAx>
      <c:valAx>
        <c:axId val="6177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728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Sticky Factor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запроса'!$G$1</c:f>
              <c:strCache>
                <c:ptCount val="1"/>
                <c:pt idx="0">
                  <c:v>SFW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запроса'!$G$2:$G$304</c:f>
              <c:numCache>
                <c:formatCode>General</c:formatCode>
                <c:ptCount val="303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0.1702127659574468</c:v>
                </c:pt>
                <c:pt idx="184">
                  <c:v>0.18421052631578946</c:v>
                </c:pt>
                <c:pt idx="185">
                  <c:v>0.21052631578947367</c:v>
                </c:pt>
                <c:pt idx="186">
                  <c:v>0.24210526315789474</c:v>
                </c:pt>
                <c:pt idx="187">
                  <c:v>0.18947368421052632</c:v>
                </c:pt>
                <c:pt idx="188">
                  <c:v>0.24210526315789474</c:v>
                </c:pt>
                <c:pt idx="189">
                  <c:v>0.18421052631578946</c:v>
                </c:pt>
                <c:pt idx="190">
                  <c:v>0.27894736842105261</c:v>
                </c:pt>
                <c:pt idx="191">
                  <c:v>0.22746781115879827</c:v>
                </c:pt>
                <c:pt idx="192">
                  <c:v>0.22317596566523606</c:v>
                </c:pt>
                <c:pt idx="193">
                  <c:v>0.27896995708154504</c:v>
                </c:pt>
                <c:pt idx="194">
                  <c:v>0.22317596566523606</c:v>
                </c:pt>
                <c:pt idx="195">
                  <c:v>0.26609442060085836</c:v>
                </c:pt>
                <c:pt idx="196">
                  <c:v>0.33047210300429186</c:v>
                </c:pt>
                <c:pt idx="197">
                  <c:v>0.26180257510729615</c:v>
                </c:pt>
                <c:pt idx="198">
                  <c:v>0.25735294117647056</c:v>
                </c:pt>
                <c:pt idx="199">
                  <c:v>0.24264705882352941</c:v>
                </c:pt>
                <c:pt idx="200">
                  <c:v>0.26838235294117646</c:v>
                </c:pt>
                <c:pt idx="201">
                  <c:v>0.26838235294117646</c:v>
                </c:pt>
                <c:pt idx="202">
                  <c:v>0.29411764705882354</c:v>
                </c:pt>
                <c:pt idx="203">
                  <c:v>0.27573529411764708</c:v>
                </c:pt>
                <c:pt idx="204">
                  <c:v>0.33088235294117646</c:v>
                </c:pt>
                <c:pt idx="205">
                  <c:v>0.26440677966101694</c:v>
                </c:pt>
                <c:pt idx="206">
                  <c:v>0.30508474576271188</c:v>
                </c:pt>
                <c:pt idx="207">
                  <c:v>0.29830508474576273</c:v>
                </c:pt>
                <c:pt idx="208">
                  <c:v>0.28135593220338984</c:v>
                </c:pt>
                <c:pt idx="209">
                  <c:v>0.31186440677966104</c:v>
                </c:pt>
                <c:pt idx="210">
                  <c:v>0.33559322033898303</c:v>
                </c:pt>
                <c:pt idx="211">
                  <c:v>0.31525423728813562</c:v>
                </c:pt>
                <c:pt idx="212">
                  <c:v>0.33236994219653176</c:v>
                </c:pt>
                <c:pt idx="213">
                  <c:v>0.31213872832369943</c:v>
                </c:pt>
                <c:pt idx="214">
                  <c:v>0.32369942196531792</c:v>
                </c:pt>
                <c:pt idx="215">
                  <c:v>0.24855491329479767</c:v>
                </c:pt>
                <c:pt idx="216">
                  <c:v>0.2832369942196532</c:v>
                </c:pt>
                <c:pt idx="217">
                  <c:v>0.28901734104046245</c:v>
                </c:pt>
                <c:pt idx="218">
                  <c:v>0.27456647398843931</c:v>
                </c:pt>
                <c:pt idx="219">
                  <c:v>0.28823529411764703</c:v>
                </c:pt>
                <c:pt idx="220">
                  <c:v>0.26470588235294118</c:v>
                </c:pt>
                <c:pt idx="221">
                  <c:v>0.31470588235294117</c:v>
                </c:pt>
                <c:pt idx="222">
                  <c:v>0.29705882352941176</c:v>
                </c:pt>
                <c:pt idx="223">
                  <c:v>0.30588235294117649</c:v>
                </c:pt>
                <c:pt idx="224">
                  <c:v>0.28823529411764703</c:v>
                </c:pt>
                <c:pt idx="225">
                  <c:v>0.29705882352941176</c:v>
                </c:pt>
                <c:pt idx="226">
                  <c:v>0.27089337175792505</c:v>
                </c:pt>
                <c:pt idx="227">
                  <c:v>0.31123919308357351</c:v>
                </c:pt>
                <c:pt idx="228">
                  <c:v>0.29682997118155618</c:v>
                </c:pt>
                <c:pt idx="229">
                  <c:v>0.2737752161383285</c:v>
                </c:pt>
                <c:pt idx="230">
                  <c:v>0.30835734870317005</c:v>
                </c:pt>
                <c:pt idx="231">
                  <c:v>0.33429394812680113</c:v>
                </c:pt>
                <c:pt idx="232">
                  <c:v>0.31412103746397696</c:v>
                </c:pt>
                <c:pt idx="233">
                  <c:v>0.21875</c:v>
                </c:pt>
                <c:pt idx="234">
                  <c:v>0.25520833333333331</c:v>
                </c:pt>
                <c:pt idx="235">
                  <c:v>0.29947916666666669</c:v>
                </c:pt>
                <c:pt idx="236">
                  <c:v>0.24739583333333334</c:v>
                </c:pt>
                <c:pt idx="237">
                  <c:v>0.27604166666666669</c:v>
                </c:pt>
                <c:pt idx="238">
                  <c:v>0.30729166666666669</c:v>
                </c:pt>
                <c:pt idx="239">
                  <c:v>0.33072916666666669</c:v>
                </c:pt>
                <c:pt idx="240">
                  <c:v>0.1702127659574468</c:v>
                </c:pt>
                <c:pt idx="241">
                  <c:v>0.2144026186579378</c:v>
                </c:pt>
                <c:pt idx="242">
                  <c:v>0.21276595744680851</c:v>
                </c:pt>
                <c:pt idx="243">
                  <c:v>0.22585924713584288</c:v>
                </c:pt>
                <c:pt idx="244">
                  <c:v>0.27332242225859249</c:v>
                </c:pt>
                <c:pt idx="245">
                  <c:v>0.27823240589198034</c:v>
                </c:pt>
                <c:pt idx="246">
                  <c:v>0.27004909983633391</c:v>
                </c:pt>
                <c:pt idx="247">
                  <c:v>0.20926966292134833</c:v>
                </c:pt>
                <c:pt idx="248">
                  <c:v>0.21207865168539325</c:v>
                </c:pt>
                <c:pt idx="249">
                  <c:v>0.24297752808988765</c:v>
                </c:pt>
                <c:pt idx="250">
                  <c:v>0.21067415730337077</c:v>
                </c:pt>
                <c:pt idx="251">
                  <c:v>0.22752808988764045</c:v>
                </c:pt>
                <c:pt idx="252">
                  <c:v>0.24578651685393257</c:v>
                </c:pt>
                <c:pt idx="253">
                  <c:v>0.24719101123595505</c:v>
                </c:pt>
                <c:pt idx="254">
                  <c:v>0.23316062176165803</c:v>
                </c:pt>
                <c:pt idx="255">
                  <c:v>0.21761658031088082</c:v>
                </c:pt>
                <c:pt idx="256">
                  <c:v>0.23963730569948186</c:v>
                </c:pt>
                <c:pt idx="257">
                  <c:v>0.2344559585492228</c:v>
                </c:pt>
                <c:pt idx="258">
                  <c:v>0.22279792746113988</c:v>
                </c:pt>
                <c:pt idx="259">
                  <c:v>0.2422279792746114</c:v>
                </c:pt>
                <c:pt idx="260">
                  <c:v>0.28238341968911918</c:v>
                </c:pt>
                <c:pt idx="261">
                  <c:v>0.28048780487804881</c:v>
                </c:pt>
                <c:pt idx="262">
                  <c:v>0.29573170731707316</c:v>
                </c:pt>
                <c:pt idx="263">
                  <c:v>0.19969512195121952</c:v>
                </c:pt>
                <c:pt idx="264">
                  <c:v>0.26829268292682928</c:v>
                </c:pt>
                <c:pt idx="265">
                  <c:v>0.2073170731707317</c:v>
                </c:pt>
                <c:pt idx="266">
                  <c:v>0.23323170731707318</c:v>
                </c:pt>
                <c:pt idx="267">
                  <c:v>0.2423780487804878</c:v>
                </c:pt>
                <c:pt idx="268">
                  <c:v>0.21633888048411498</c:v>
                </c:pt>
                <c:pt idx="269">
                  <c:v>0.23600605143721634</c:v>
                </c:pt>
                <c:pt idx="270">
                  <c:v>0.22844175491679275</c:v>
                </c:pt>
                <c:pt idx="271">
                  <c:v>0.22390317700453857</c:v>
                </c:pt>
                <c:pt idx="272">
                  <c:v>0.2783661119515885</c:v>
                </c:pt>
                <c:pt idx="273">
                  <c:v>0.30862329803328292</c:v>
                </c:pt>
                <c:pt idx="274">
                  <c:v>0.32526475037821484</c:v>
                </c:pt>
                <c:pt idx="275">
                  <c:v>0.2832618025751073</c:v>
                </c:pt>
                <c:pt idx="276">
                  <c:v>0.28469241773962806</c:v>
                </c:pt>
                <c:pt idx="277">
                  <c:v>0.26895565092989987</c:v>
                </c:pt>
                <c:pt idx="278">
                  <c:v>0.28183118741058655</c:v>
                </c:pt>
                <c:pt idx="279">
                  <c:v>0.27467811158798283</c:v>
                </c:pt>
                <c:pt idx="280">
                  <c:v>0.28612303290414881</c:v>
                </c:pt>
                <c:pt idx="281">
                  <c:v>0.27467811158798283</c:v>
                </c:pt>
                <c:pt idx="282">
                  <c:v>0.28013029315960913</c:v>
                </c:pt>
                <c:pt idx="283">
                  <c:v>0.26058631921824105</c:v>
                </c:pt>
                <c:pt idx="284">
                  <c:v>0.2736156351791531</c:v>
                </c:pt>
                <c:pt idx="285">
                  <c:v>0.27850162866449513</c:v>
                </c:pt>
                <c:pt idx="286">
                  <c:v>0.250814332247557</c:v>
                </c:pt>
                <c:pt idx="287">
                  <c:v>0.23778501628664495</c:v>
                </c:pt>
                <c:pt idx="288">
                  <c:v>0.27035830618892509</c:v>
                </c:pt>
                <c:pt idx="289">
                  <c:v>0.24587155963302754</c:v>
                </c:pt>
                <c:pt idx="290">
                  <c:v>0.27339449541284405</c:v>
                </c:pt>
                <c:pt idx="291">
                  <c:v>0.24220183486238533</c:v>
                </c:pt>
                <c:pt idx="292">
                  <c:v>0.24036697247706423</c:v>
                </c:pt>
                <c:pt idx="293">
                  <c:v>0.19082568807339451</c:v>
                </c:pt>
                <c:pt idx="294">
                  <c:v>0.19266055045871561</c:v>
                </c:pt>
                <c:pt idx="295">
                  <c:v>0.19266055045871561</c:v>
                </c:pt>
                <c:pt idx="296">
                  <c:v>0.2132701421800948</c:v>
                </c:pt>
                <c:pt idx="297">
                  <c:v>0.23933649289099526</c:v>
                </c:pt>
                <c:pt idx="298">
                  <c:v>0.21800947867298578</c:v>
                </c:pt>
                <c:pt idx="299">
                  <c:v>0.16113744075829384</c:v>
                </c:pt>
                <c:pt idx="300">
                  <c:v>0.17772511848341233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F-9B42-B167-C03404F02FEB}"/>
            </c:ext>
          </c:extLst>
        </c:ser>
        <c:ser>
          <c:idx val="1"/>
          <c:order val="1"/>
          <c:tx>
            <c:strRef>
              <c:f>'Результат запроса'!$H$1</c:f>
              <c:strCache>
                <c:ptCount val="1"/>
                <c:pt idx="0">
                  <c:v>SFM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запроса'!$H$2:$H$304</c:f>
              <c:numCache>
                <c:formatCode>General</c:formatCode>
                <c:ptCount val="303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4.4776119402985072E-2</c:v>
                </c:pt>
                <c:pt idx="184">
                  <c:v>6.5298507462686561E-2</c:v>
                </c:pt>
                <c:pt idx="185">
                  <c:v>7.4626865671641784E-2</c:v>
                </c:pt>
                <c:pt idx="186">
                  <c:v>8.5820895522388058E-2</c:v>
                </c:pt>
                <c:pt idx="187">
                  <c:v>6.7164179104477612E-2</c:v>
                </c:pt>
                <c:pt idx="188">
                  <c:v>8.5820895522388058E-2</c:v>
                </c:pt>
                <c:pt idx="189">
                  <c:v>6.5298507462686561E-2</c:v>
                </c:pt>
                <c:pt idx="190">
                  <c:v>9.8880597014925367E-2</c:v>
                </c:pt>
                <c:pt idx="191">
                  <c:v>9.8880597014925367E-2</c:v>
                </c:pt>
                <c:pt idx="192">
                  <c:v>9.7014925373134331E-2</c:v>
                </c:pt>
                <c:pt idx="193">
                  <c:v>0.12126865671641791</c:v>
                </c:pt>
                <c:pt idx="194">
                  <c:v>9.7014925373134331E-2</c:v>
                </c:pt>
                <c:pt idx="195">
                  <c:v>0.11567164179104478</c:v>
                </c:pt>
                <c:pt idx="196">
                  <c:v>0.14365671641791045</c:v>
                </c:pt>
                <c:pt idx="197">
                  <c:v>0.11380597014925373</c:v>
                </c:pt>
                <c:pt idx="198">
                  <c:v>0.13059701492537312</c:v>
                </c:pt>
                <c:pt idx="199">
                  <c:v>0.12313432835820895</c:v>
                </c:pt>
                <c:pt idx="200">
                  <c:v>0.13619402985074627</c:v>
                </c:pt>
                <c:pt idx="201">
                  <c:v>0.13619402985074627</c:v>
                </c:pt>
                <c:pt idx="202">
                  <c:v>0.14925373134328357</c:v>
                </c:pt>
                <c:pt idx="203">
                  <c:v>0.13992537313432835</c:v>
                </c:pt>
                <c:pt idx="204">
                  <c:v>0.16791044776119404</c:v>
                </c:pt>
                <c:pt idx="205">
                  <c:v>0.1455223880597015</c:v>
                </c:pt>
                <c:pt idx="206">
                  <c:v>0.16791044776119404</c:v>
                </c:pt>
                <c:pt idx="207">
                  <c:v>0.16417910447761194</c:v>
                </c:pt>
                <c:pt idx="208">
                  <c:v>0.15485074626865672</c:v>
                </c:pt>
                <c:pt idx="209">
                  <c:v>0.17164179104477612</c:v>
                </c:pt>
                <c:pt idx="210">
                  <c:v>0.18470149253731344</c:v>
                </c:pt>
                <c:pt idx="211">
                  <c:v>0.17350746268656717</c:v>
                </c:pt>
                <c:pt idx="212">
                  <c:v>0.21455223880597016</c:v>
                </c:pt>
                <c:pt idx="213">
                  <c:v>0.20149253731343283</c:v>
                </c:pt>
                <c:pt idx="214">
                  <c:v>0.16091954022988506</c:v>
                </c:pt>
                <c:pt idx="215">
                  <c:v>0.1235632183908046</c:v>
                </c:pt>
                <c:pt idx="216">
                  <c:v>0.14080459770114942</c:v>
                </c:pt>
                <c:pt idx="217">
                  <c:v>0.14367816091954022</c:v>
                </c:pt>
                <c:pt idx="218">
                  <c:v>0.13649425287356323</c:v>
                </c:pt>
                <c:pt idx="219">
                  <c:v>0.14080459770114942</c:v>
                </c:pt>
                <c:pt idx="220">
                  <c:v>0.12931034482758622</c:v>
                </c:pt>
                <c:pt idx="221">
                  <c:v>0.15373563218390804</c:v>
                </c:pt>
                <c:pt idx="222">
                  <c:v>0.14511494252873564</c:v>
                </c:pt>
                <c:pt idx="223">
                  <c:v>0.14942528735632185</c:v>
                </c:pt>
                <c:pt idx="224">
                  <c:v>0.14080459770114942</c:v>
                </c:pt>
                <c:pt idx="225">
                  <c:v>0.14511494252873564</c:v>
                </c:pt>
                <c:pt idx="226">
                  <c:v>0.13505747126436782</c:v>
                </c:pt>
                <c:pt idx="227">
                  <c:v>0.15517241379310345</c:v>
                </c:pt>
                <c:pt idx="228">
                  <c:v>0.14798850574712644</c:v>
                </c:pt>
                <c:pt idx="229">
                  <c:v>0.13649425287356323</c:v>
                </c:pt>
                <c:pt idx="230">
                  <c:v>0.15373563218390804</c:v>
                </c:pt>
                <c:pt idx="231">
                  <c:v>0.16666666666666666</c:v>
                </c:pt>
                <c:pt idx="232">
                  <c:v>0.15660919540229884</c:v>
                </c:pt>
                <c:pt idx="233">
                  <c:v>0.1206896551724138</c:v>
                </c:pt>
                <c:pt idx="234">
                  <c:v>0.14080459770114942</c:v>
                </c:pt>
                <c:pt idx="235">
                  <c:v>0.16522988505747127</c:v>
                </c:pt>
                <c:pt idx="236">
                  <c:v>0.13649425287356323</c:v>
                </c:pt>
                <c:pt idx="237">
                  <c:v>0.15229885057471265</c:v>
                </c:pt>
                <c:pt idx="238">
                  <c:v>0.16954022988505746</c:v>
                </c:pt>
                <c:pt idx="239">
                  <c:v>0.18247126436781611</c:v>
                </c:pt>
                <c:pt idx="240">
                  <c:v>0.14942528735632185</c:v>
                </c:pt>
                <c:pt idx="241">
                  <c:v>0.18821839080459771</c:v>
                </c:pt>
                <c:pt idx="242">
                  <c:v>8.4196891191709838E-2</c:v>
                </c:pt>
                <c:pt idx="243">
                  <c:v>8.937823834196891E-2</c:v>
                </c:pt>
                <c:pt idx="244">
                  <c:v>0.10816062176165803</c:v>
                </c:pt>
                <c:pt idx="245">
                  <c:v>0.11010362694300518</c:v>
                </c:pt>
                <c:pt idx="246">
                  <c:v>0.10686528497409327</c:v>
                </c:pt>
                <c:pt idx="247">
                  <c:v>9.6502590673575125E-2</c:v>
                </c:pt>
                <c:pt idx="248">
                  <c:v>9.7797927461139897E-2</c:v>
                </c:pt>
                <c:pt idx="249">
                  <c:v>0.11204663212435233</c:v>
                </c:pt>
                <c:pt idx="250">
                  <c:v>9.7150259067357511E-2</c:v>
                </c:pt>
                <c:pt idx="251">
                  <c:v>0.10492227979274611</c:v>
                </c:pt>
                <c:pt idx="252">
                  <c:v>0.1133419689119171</c:v>
                </c:pt>
                <c:pt idx="253">
                  <c:v>0.11398963730569948</c:v>
                </c:pt>
                <c:pt idx="254">
                  <c:v>0.11658031088082901</c:v>
                </c:pt>
                <c:pt idx="255">
                  <c:v>0.10880829015544041</c:v>
                </c:pt>
                <c:pt idx="256">
                  <c:v>0.11981865284974093</c:v>
                </c:pt>
                <c:pt idx="257">
                  <c:v>0.1172279792746114</c:v>
                </c:pt>
                <c:pt idx="258">
                  <c:v>0.11139896373056994</c:v>
                </c:pt>
                <c:pt idx="259">
                  <c:v>0.1211139896373057</c:v>
                </c:pt>
                <c:pt idx="260">
                  <c:v>0.14119170984455959</c:v>
                </c:pt>
                <c:pt idx="261">
                  <c:v>0.11917098445595854</c:v>
                </c:pt>
                <c:pt idx="262">
                  <c:v>0.12564766839378239</c:v>
                </c:pt>
                <c:pt idx="263">
                  <c:v>8.4844559585492224E-2</c:v>
                </c:pt>
                <c:pt idx="264">
                  <c:v>0.11398963730569948</c:v>
                </c:pt>
                <c:pt idx="265">
                  <c:v>8.8082901554404139E-2</c:v>
                </c:pt>
                <c:pt idx="266">
                  <c:v>9.9093264248704668E-2</c:v>
                </c:pt>
                <c:pt idx="267">
                  <c:v>0.10297927461139897</c:v>
                </c:pt>
                <c:pt idx="268">
                  <c:v>9.2616580310880825E-2</c:v>
                </c:pt>
                <c:pt idx="269">
                  <c:v>0.10103626943005181</c:v>
                </c:pt>
                <c:pt idx="270">
                  <c:v>9.7797927461139897E-2</c:v>
                </c:pt>
                <c:pt idx="271">
                  <c:v>9.585492227979274E-2</c:v>
                </c:pt>
                <c:pt idx="272">
                  <c:v>0.11917098445595854</c:v>
                </c:pt>
                <c:pt idx="273">
                  <c:v>0.19863680623174293</c:v>
                </c:pt>
                <c:pt idx="274">
                  <c:v>0.20934761441090555</c:v>
                </c:pt>
                <c:pt idx="275">
                  <c:v>0.19279454722492698</c:v>
                </c:pt>
                <c:pt idx="276">
                  <c:v>0.19376825705939629</c:v>
                </c:pt>
                <c:pt idx="277">
                  <c:v>0.1830574488802337</c:v>
                </c:pt>
                <c:pt idx="278">
                  <c:v>0.19182083739045763</c:v>
                </c:pt>
                <c:pt idx="279">
                  <c:v>0.186952288218111</c:v>
                </c:pt>
                <c:pt idx="280">
                  <c:v>0.19474196689386564</c:v>
                </c:pt>
                <c:pt idx="281">
                  <c:v>0.186952288218111</c:v>
                </c:pt>
                <c:pt idx="282">
                  <c:v>0.16747809152872445</c:v>
                </c:pt>
                <c:pt idx="283">
                  <c:v>0.15579357351509251</c:v>
                </c:pt>
                <c:pt idx="284">
                  <c:v>0.16358325219084713</c:v>
                </c:pt>
                <c:pt idx="285">
                  <c:v>0.1665043816942551</c:v>
                </c:pt>
                <c:pt idx="286">
                  <c:v>0.14995131450827653</c:v>
                </c:pt>
                <c:pt idx="287">
                  <c:v>0.14216163583252192</c:v>
                </c:pt>
                <c:pt idx="288">
                  <c:v>0.16163583252190847</c:v>
                </c:pt>
                <c:pt idx="289">
                  <c:v>0.13047711781888996</c:v>
                </c:pt>
                <c:pt idx="290">
                  <c:v>0.1450827653359299</c:v>
                </c:pt>
                <c:pt idx="291">
                  <c:v>0.12852969814995133</c:v>
                </c:pt>
                <c:pt idx="292">
                  <c:v>0.12755598831548198</c:v>
                </c:pt>
                <c:pt idx="293">
                  <c:v>0.10126582278481013</c:v>
                </c:pt>
                <c:pt idx="294">
                  <c:v>0.10223953261927946</c:v>
                </c:pt>
                <c:pt idx="295">
                  <c:v>0.10223953261927946</c:v>
                </c:pt>
                <c:pt idx="296">
                  <c:v>8.7633885102239531E-2</c:v>
                </c:pt>
                <c:pt idx="297">
                  <c:v>9.8344693281402148E-2</c:v>
                </c:pt>
                <c:pt idx="298">
                  <c:v>8.9581304771178191E-2</c:v>
                </c:pt>
                <c:pt idx="299">
                  <c:v>6.621226874391431E-2</c:v>
                </c:pt>
                <c:pt idx="300">
                  <c:v>7.3028237585199607E-2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F-9B42-B167-C03404F02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815744"/>
        <c:axId val="325775312"/>
      </c:lineChart>
      <c:dateAx>
        <c:axId val="32581574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775312"/>
        <c:crosses val="autoZero"/>
        <c:auto val="1"/>
        <c:lblOffset val="100"/>
        <c:baseTimeUnit val="days"/>
      </c:dateAx>
      <c:valAx>
        <c:axId val="3257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81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374650</xdr:colOff>
      <xdr:row>1</xdr:row>
      <xdr:rowOff>38100</xdr:rowOff>
    </xdr:from>
    <xdr:to>
      <xdr:col>18</xdr:col>
      <xdr:colOff>419100</xdr:colOff>
      <xdr:row>20</xdr:row>
      <xdr:rowOff>158750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5948D19-82A7-8A4A-8F75-C6D77AAED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260350</xdr:colOff>
      <xdr:row>21</xdr:row>
      <xdr:rowOff>133350</xdr:rowOff>
    </xdr:from>
    <xdr:to>
      <xdr:col>18</xdr:col>
      <xdr:colOff>660400</xdr:colOff>
      <xdr:row>49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CE4B8E0-1F12-4340-9269-DC3889B21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4"/>
  <sheetViews>
    <sheetView tabSelected="1" topLeftCell="D1" workbookViewId="0">
      <pane ySplit="1" topLeftCell="A15" activePane="bottomLeft" state="frozen"/>
      <selection pane="bottomLeft" activeCell="U35" sqref="U35"/>
    </sheetView>
  </sheetViews>
  <sheetFormatPr baseColWidth="10" defaultColWidth="8.83203125" defaultRowHeight="15" x14ac:dyDescent="0.2"/>
  <cols>
    <col min="1" max="1" width="14.6640625" style="2" customWidth="1"/>
    <col min="2" max="2" width="8.6640625" customWidth="1"/>
  </cols>
  <sheetData>
    <row r="1" spans="1:24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</row>
    <row r="2" spans="1:24" x14ac:dyDescent="0.2">
      <c r="A2" s="2">
        <v>44744</v>
      </c>
      <c r="B2" s="1">
        <v>3</v>
      </c>
      <c r="C2">
        <f>_xlfn.ISOWEEKNUM(A2)</f>
        <v>26</v>
      </c>
      <c r="D2">
        <f>MONTH(A2)</f>
        <v>7</v>
      </c>
      <c r="E2">
        <f>VLOOKUP(C2,wau!B:C,2,)</f>
        <v>6</v>
      </c>
      <c r="F2">
        <f>VLOOKUP(D2,mau!B:C,2,)</f>
        <v>193</v>
      </c>
      <c r="G2">
        <f>B2/E2</f>
        <v>0.5</v>
      </c>
      <c r="H2">
        <f>B2/F2</f>
        <v>1.5544041450777202E-2</v>
      </c>
    </row>
    <row r="3" spans="1:24" x14ac:dyDescent="0.2">
      <c r="A3" s="2">
        <v>44745</v>
      </c>
      <c r="B3" s="1">
        <v>6</v>
      </c>
      <c r="C3">
        <f t="shared" ref="C3:C66" si="0">_xlfn.ISOWEEKNUM(A3)</f>
        <v>26</v>
      </c>
      <c r="D3">
        <f t="shared" ref="D3:D66" si="1">MONTH(A3)</f>
        <v>7</v>
      </c>
      <c r="E3">
        <f>VLOOKUP(C3,wau!B:C,2,)</f>
        <v>6</v>
      </c>
      <c r="F3">
        <f>VLOOKUP(D3,mau!B:C,2,)</f>
        <v>193</v>
      </c>
      <c r="G3">
        <f t="shared" ref="G3:G66" si="2">B3/E3</f>
        <v>1</v>
      </c>
      <c r="H3">
        <f t="shared" ref="H3:H66" si="3">B3/F3</f>
        <v>3.1088082901554404E-2</v>
      </c>
    </row>
    <row r="4" spans="1:24" x14ac:dyDescent="0.2">
      <c r="A4" s="2">
        <v>44746</v>
      </c>
      <c r="B4" s="1">
        <v>5</v>
      </c>
      <c r="C4">
        <f t="shared" si="0"/>
        <v>27</v>
      </c>
      <c r="D4">
        <f t="shared" si="1"/>
        <v>7</v>
      </c>
      <c r="E4">
        <f>VLOOKUP(C4,wau!B:C,2,)</f>
        <v>59</v>
      </c>
      <c r="F4">
        <f>VLOOKUP(D4,mau!B:C,2,)</f>
        <v>193</v>
      </c>
      <c r="G4">
        <f t="shared" si="2"/>
        <v>8.4745762711864403E-2</v>
      </c>
      <c r="H4">
        <f t="shared" si="3"/>
        <v>2.5906735751295335E-2</v>
      </c>
    </row>
    <row r="5" spans="1:24" x14ac:dyDescent="0.2">
      <c r="A5" s="2">
        <v>44747</v>
      </c>
      <c r="B5" s="1">
        <v>10</v>
      </c>
      <c r="C5">
        <f t="shared" si="0"/>
        <v>27</v>
      </c>
      <c r="D5">
        <f t="shared" si="1"/>
        <v>7</v>
      </c>
      <c r="E5">
        <f>VLOOKUP(C5,wau!B:C,2,)</f>
        <v>59</v>
      </c>
      <c r="F5">
        <f>VLOOKUP(D5,mau!B:C,2,)</f>
        <v>193</v>
      </c>
      <c r="G5">
        <f t="shared" si="2"/>
        <v>0.16949152542372881</v>
      </c>
      <c r="H5">
        <f t="shared" si="3"/>
        <v>5.181347150259067E-2</v>
      </c>
      <c r="T5" s="4" t="s">
        <v>11</v>
      </c>
      <c r="U5" s="4"/>
      <c r="V5" s="4"/>
      <c r="W5" s="4"/>
      <c r="X5" s="4"/>
    </row>
    <row r="6" spans="1:24" x14ac:dyDescent="0.2">
      <c r="A6" s="2">
        <v>44748</v>
      </c>
      <c r="B6" s="1">
        <v>5</v>
      </c>
      <c r="C6">
        <f t="shared" si="0"/>
        <v>27</v>
      </c>
      <c r="D6">
        <f t="shared" si="1"/>
        <v>7</v>
      </c>
      <c r="E6">
        <f>VLOOKUP(C6,wau!B:C,2,)</f>
        <v>59</v>
      </c>
      <c r="F6">
        <f>VLOOKUP(D6,mau!B:C,2,)</f>
        <v>193</v>
      </c>
      <c r="G6">
        <f t="shared" si="2"/>
        <v>8.4745762711864403E-2</v>
      </c>
      <c r="H6">
        <f t="shared" si="3"/>
        <v>2.5906735751295335E-2</v>
      </c>
      <c r="T6" s="4"/>
      <c r="U6" s="4"/>
      <c r="V6" s="4"/>
      <c r="W6" s="4"/>
      <c r="X6" s="4"/>
    </row>
    <row r="7" spans="1:24" x14ac:dyDescent="0.2">
      <c r="A7" s="2">
        <v>44749</v>
      </c>
      <c r="B7" s="1">
        <v>13</v>
      </c>
      <c r="C7">
        <f t="shared" si="0"/>
        <v>27</v>
      </c>
      <c r="D7">
        <f t="shared" si="1"/>
        <v>7</v>
      </c>
      <c r="E7">
        <f>VLOOKUP(C7,wau!B:C,2,)</f>
        <v>59</v>
      </c>
      <c r="F7">
        <f>VLOOKUP(D7,mau!B:C,2,)</f>
        <v>193</v>
      </c>
      <c r="G7">
        <f t="shared" si="2"/>
        <v>0.22033898305084745</v>
      </c>
      <c r="H7">
        <f t="shared" si="3"/>
        <v>6.7357512953367879E-2</v>
      </c>
      <c r="T7" s="4"/>
      <c r="U7" s="4"/>
      <c r="V7" s="4"/>
      <c r="W7" s="4"/>
      <c r="X7" s="4"/>
    </row>
    <row r="8" spans="1:24" x14ac:dyDescent="0.2">
      <c r="A8" s="2">
        <v>44750</v>
      </c>
      <c r="B8" s="1">
        <v>22</v>
      </c>
      <c r="C8">
        <f t="shared" si="0"/>
        <v>27</v>
      </c>
      <c r="D8">
        <f t="shared" si="1"/>
        <v>7</v>
      </c>
      <c r="E8">
        <f>VLOOKUP(C8,wau!B:C,2,)</f>
        <v>59</v>
      </c>
      <c r="F8">
        <f>VLOOKUP(D8,mau!B:C,2,)</f>
        <v>193</v>
      </c>
      <c r="G8">
        <f t="shared" si="2"/>
        <v>0.3728813559322034</v>
      </c>
      <c r="H8">
        <f t="shared" si="3"/>
        <v>0.11398963730569948</v>
      </c>
      <c r="T8" s="4"/>
      <c r="U8" s="4"/>
      <c r="V8" s="4"/>
      <c r="W8" s="4"/>
      <c r="X8" s="4"/>
    </row>
    <row r="9" spans="1:24" x14ac:dyDescent="0.2">
      <c r="A9" s="2">
        <v>44751</v>
      </c>
      <c r="B9" s="1">
        <v>22</v>
      </c>
      <c r="C9">
        <f t="shared" si="0"/>
        <v>27</v>
      </c>
      <c r="D9">
        <f t="shared" si="1"/>
        <v>7</v>
      </c>
      <c r="E9">
        <f>VLOOKUP(C9,wau!B:C,2,)</f>
        <v>59</v>
      </c>
      <c r="F9">
        <f>VLOOKUP(D9,mau!B:C,2,)</f>
        <v>193</v>
      </c>
      <c r="G9">
        <f t="shared" si="2"/>
        <v>0.3728813559322034</v>
      </c>
      <c r="H9">
        <f t="shared" si="3"/>
        <v>0.11398963730569948</v>
      </c>
    </row>
    <row r="10" spans="1:24" x14ac:dyDescent="0.2">
      <c r="A10" s="2">
        <v>44752</v>
      </c>
      <c r="B10" s="1">
        <v>26</v>
      </c>
      <c r="C10">
        <f t="shared" si="0"/>
        <v>27</v>
      </c>
      <c r="D10">
        <f t="shared" si="1"/>
        <v>7</v>
      </c>
      <c r="E10">
        <f>VLOOKUP(C10,wau!B:C,2,)</f>
        <v>59</v>
      </c>
      <c r="F10">
        <f>VLOOKUP(D10,mau!B:C,2,)</f>
        <v>193</v>
      </c>
      <c r="G10">
        <f t="shared" si="2"/>
        <v>0.44067796610169491</v>
      </c>
      <c r="H10">
        <f t="shared" si="3"/>
        <v>0.13471502590673576</v>
      </c>
    </row>
    <row r="11" spans="1:24" x14ac:dyDescent="0.2">
      <c r="A11" s="2">
        <v>44753</v>
      </c>
      <c r="B11" s="1">
        <v>23</v>
      </c>
      <c r="C11">
        <f t="shared" si="0"/>
        <v>28</v>
      </c>
      <c r="D11">
        <f t="shared" si="1"/>
        <v>7</v>
      </c>
      <c r="E11">
        <f>VLOOKUP(C11,wau!B:C,2,)</f>
        <v>92</v>
      </c>
      <c r="F11">
        <f>VLOOKUP(D11,mau!B:C,2,)</f>
        <v>193</v>
      </c>
      <c r="G11">
        <f t="shared" si="2"/>
        <v>0.25</v>
      </c>
      <c r="H11">
        <f t="shared" si="3"/>
        <v>0.11917098445595854</v>
      </c>
    </row>
    <row r="12" spans="1:24" x14ac:dyDescent="0.2">
      <c r="A12" s="2">
        <v>44754</v>
      </c>
      <c r="B12" s="1">
        <v>24</v>
      </c>
      <c r="C12">
        <f t="shared" si="0"/>
        <v>28</v>
      </c>
      <c r="D12">
        <f t="shared" si="1"/>
        <v>7</v>
      </c>
      <c r="E12">
        <f>VLOOKUP(C12,wau!B:C,2,)</f>
        <v>92</v>
      </c>
      <c r="F12">
        <f>VLOOKUP(D12,mau!B:C,2,)</f>
        <v>193</v>
      </c>
      <c r="G12">
        <f t="shared" si="2"/>
        <v>0.2608695652173913</v>
      </c>
      <c r="H12">
        <f t="shared" si="3"/>
        <v>0.12435233160621761</v>
      </c>
    </row>
    <row r="13" spans="1:24" x14ac:dyDescent="0.2">
      <c r="A13" s="2">
        <v>44755</v>
      </c>
      <c r="B13" s="1">
        <v>30</v>
      </c>
      <c r="C13">
        <f t="shared" si="0"/>
        <v>28</v>
      </c>
      <c r="D13">
        <f t="shared" si="1"/>
        <v>7</v>
      </c>
      <c r="E13">
        <f>VLOOKUP(C13,wau!B:C,2,)</f>
        <v>92</v>
      </c>
      <c r="F13">
        <f>VLOOKUP(D13,mau!B:C,2,)</f>
        <v>193</v>
      </c>
      <c r="G13">
        <f t="shared" si="2"/>
        <v>0.32608695652173914</v>
      </c>
      <c r="H13">
        <f t="shared" si="3"/>
        <v>0.15544041450777202</v>
      </c>
    </row>
    <row r="14" spans="1:24" x14ac:dyDescent="0.2">
      <c r="A14" s="2">
        <v>44756</v>
      </c>
      <c r="B14" s="1">
        <v>32</v>
      </c>
      <c r="C14">
        <f t="shared" si="0"/>
        <v>28</v>
      </c>
      <c r="D14">
        <f t="shared" si="1"/>
        <v>7</v>
      </c>
      <c r="E14">
        <f>VLOOKUP(C14,wau!B:C,2,)</f>
        <v>92</v>
      </c>
      <c r="F14">
        <f>VLOOKUP(D14,mau!B:C,2,)</f>
        <v>193</v>
      </c>
      <c r="G14">
        <f t="shared" si="2"/>
        <v>0.34782608695652173</v>
      </c>
      <c r="H14">
        <f t="shared" si="3"/>
        <v>0.16580310880829016</v>
      </c>
    </row>
    <row r="15" spans="1:24" x14ac:dyDescent="0.2">
      <c r="A15" s="2">
        <v>44757</v>
      </c>
      <c r="B15" s="1">
        <v>25</v>
      </c>
      <c r="C15">
        <f t="shared" si="0"/>
        <v>28</v>
      </c>
      <c r="D15">
        <f t="shared" si="1"/>
        <v>7</v>
      </c>
      <c r="E15">
        <f>VLOOKUP(C15,wau!B:C,2,)</f>
        <v>92</v>
      </c>
      <c r="F15">
        <f>VLOOKUP(D15,mau!B:C,2,)</f>
        <v>193</v>
      </c>
      <c r="G15">
        <f t="shared" si="2"/>
        <v>0.27173913043478259</v>
      </c>
      <c r="H15">
        <f t="shared" si="3"/>
        <v>0.12953367875647667</v>
      </c>
    </row>
    <row r="16" spans="1:24" x14ac:dyDescent="0.2">
      <c r="A16" s="2">
        <v>44758</v>
      </c>
      <c r="B16" s="1">
        <v>34</v>
      </c>
      <c r="C16">
        <f t="shared" si="0"/>
        <v>28</v>
      </c>
      <c r="D16">
        <f t="shared" si="1"/>
        <v>7</v>
      </c>
      <c r="E16">
        <f>VLOOKUP(C16,wau!B:C,2,)</f>
        <v>92</v>
      </c>
      <c r="F16">
        <f>VLOOKUP(D16,mau!B:C,2,)</f>
        <v>193</v>
      </c>
      <c r="G16">
        <f t="shared" si="2"/>
        <v>0.36956521739130432</v>
      </c>
      <c r="H16">
        <f t="shared" si="3"/>
        <v>0.17616580310880828</v>
      </c>
    </row>
    <row r="17" spans="1:25" x14ac:dyDescent="0.2">
      <c r="A17" s="2">
        <v>44759</v>
      </c>
      <c r="B17" s="1">
        <v>39</v>
      </c>
      <c r="C17">
        <f t="shared" si="0"/>
        <v>28</v>
      </c>
      <c r="D17">
        <f t="shared" si="1"/>
        <v>7</v>
      </c>
      <c r="E17">
        <f>VLOOKUP(C17,wau!B:C,2,)</f>
        <v>92</v>
      </c>
      <c r="F17">
        <f>VLOOKUP(D17,mau!B:C,2,)</f>
        <v>193</v>
      </c>
      <c r="G17">
        <f t="shared" si="2"/>
        <v>0.42391304347826086</v>
      </c>
      <c r="H17">
        <f t="shared" si="3"/>
        <v>0.20207253886010362</v>
      </c>
    </row>
    <row r="18" spans="1:25" x14ac:dyDescent="0.2">
      <c r="A18" s="2">
        <v>44760</v>
      </c>
      <c r="B18" s="1">
        <v>22</v>
      </c>
      <c r="C18">
        <f t="shared" si="0"/>
        <v>29</v>
      </c>
      <c r="D18">
        <f t="shared" si="1"/>
        <v>7</v>
      </c>
      <c r="E18">
        <f>VLOOKUP(C18,wau!B:C,2,)</f>
        <v>133</v>
      </c>
      <c r="F18">
        <f>VLOOKUP(D18,mau!B:C,2,)</f>
        <v>193</v>
      </c>
      <c r="G18">
        <f t="shared" si="2"/>
        <v>0.16541353383458646</v>
      </c>
      <c r="H18">
        <f t="shared" si="3"/>
        <v>0.11398963730569948</v>
      </c>
    </row>
    <row r="19" spans="1:25" x14ac:dyDescent="0.2">
      <c r="A19" s="2">
        <v>44761</v>
      </c>
      <c r="B19" s="1">
        <v>38</v>
      </c>
      <c r="C19">
        <f t="shared" si="0"/>
        <v>29</v>
      </c>
      <c r="D19">
        <f t="shared" si="1"/>
        <v>7</v>
      </c>
      <c r="E19">
        <f>VLOOKUP(C19,wau!B:C,2,)</f>
        <v>133</v>
      </c>
      <c r="F19">
        <f>VLOOKUP(D19,mau!B:C,2,)</f>
        <v>193</v>
      </c>
      <c r="G19">
        <f t="shared" si="2"/>
        <v>0.2857142857142857</v>
      </c>
      <c r="H19">
        <f t="shared" si="3"/>
        <v>0.19689119170984457</v>
      </c>
    </row>
    <row r="20" spans="1:25" x14ac:dyDescent="0.2">
      <c r="A20" s="2">
        <v>44762</v>
      </c>
      <c r="B20" s="1">
        <v>34</v>
      </c>
      <c r="C20">
        <f t="shared" si="0"/>
        <v>29</v>
      </c>
      <c r="D20">
        <f t="shared" si="1"/>
        <v>7</v>
      </c>
      <c r="E20">
        <f>VLOOKUP(C20,wau!B:C,2,)</f>
        <v>133</v>
      </c>
      <c r="F20">
        <f>VLOOKUP(D20,mau!B:C,2,)</f>
        <v>193</v>
      </c>
      <c r="G20">
        <f t="shared" si="2"/>
        <v>0.25563909774436089</v>
      </c>
      <c r="H20">
        <f t="shared" si="3"/>
        <v>0.17616580310880828</v>
      </c>
    </row>
    <row r="21" spans="1:25" x14ac:dyDescent="0.2">
      <c r="A21" s="2">
        <v>44763</v>
      </c>
      <c r="B21" s="1">
        <v>50</v>
      </c>
      <c r="C21">
        <f t="shared" si="0"/>
        <v>29</v>
      </c>
      <c r="D21">
        <f t="shared" si="1"/>
        <v>7</v>
      </c>
      <c r="E21">
        <f>VLOOKUP(C21,wau!B:C,2,)</f>
        <v>133</v>
      </c>
      <c r="F21">
        <f>VLOOKUP(D21,mau!B:C,2,)</f>
        <v>193</v>
      </c>
      <c r="G21">
        <f t="shared" si="2"/>
        <v>0.37593984962406013</v>
      </c>
      <c r="H21">
        <f t="shared" si="3"/>
        <v>0.25906735751295334</v>
      </c>
    </row>
    <row r="22" spans="1:25" x14ac:dyDescent="0.2">
      <c r="A22" s="2">
        <v>44764</v>
      </c>
      <c r="B22" s="1">
        <v>43</v>
      </c>
      <c r="C22">
        <f t="shared" si="0"/>
        <v>29</v>
      </c>
      <c r="D22">
        <f t="shared" si="1"/>
        <v>7</v>
      </c>
      <c r="E22">
        <f>VLOOKUP(C22,wau!B:C,2,)</f>
        <v>133</v>
      </c>
      <c r="F22">
        <f>VLOOKUP(D22,mau!B:C,2,)</f>
        <v>193</v>
      </c>
      <c r="G22">
        <f t="shared" si="2"/>
        <v>0.32330827067669171</v>
      </c>
      <c r="H22">
        <f t="shared" si="3"/>
        <v>0.22279792746113988</v>
      </c>
    </row>
    <row r="23" spans="1:25" x14ac:dyDescent="0.2">
      <c r="A23" s="2">
        <v>44765</v>
      </c>
      <c r="B23" s="1">
        <v>43</v>
      </c>
      <c r="C23">
        <f t="shared" si="0"/>
        <v>29</v>
      </c>
      <c r="D23">
        <f t="shared" si="1"/>
        <v>7</v>
      </c>
      <c r="E23">
        <f>VLOOKUP(C23,wau!B:C,2,)</f>
        <v>133</v>
      </c>
      <c r="F23">
        <f>VLOOKUP(D23,mau!B:C,2,)</f>
        <v>193</v>
      </c>
      <c r="G23">
        <f t="shared" si="2"/>
        <v>0.32330827067669171</v>
      </c>
      <c r="H23">
        <f t="shared" si="3"/>
        <v>0.22279792746113988</v>
      </c>
    </row>
    <row r="24" spans="1:25" x14ac:dyDescent="0.2">
      <c r="A24" s="2">
        <v>44766</v>
      </c>
      <c r="B24" s="1">
        <v>53</v>
      </c>
      <c r="C24">
        <f t="shared" si="0"/>
        <v>29</v>
      </c>
      <c r="D24">
        <f t="shared" si="1"/>
        <v>7</v>
      </c>
      <c r="E24">
        <f>VLOOKUP(C24,wau!B:C,2,)</f>
        <v>133</v>
      </c>
      <c r="F24">
        <f>VLOOKUP(D24,mau!B:C,2,)</f>
        <v>193</v>
      </c>
      <c r="G24">
        <f t="shared" si="2"/>
        <v>0.39849624060150374</v>
      </c>
      <c r="H24">
        <f t="shared" si="3"/>
        <v>0.27461139896373055</v>
      </c>
    </row>
    <row r="25" spans="1:25" x14ac:dyDescent="0.2">
      <c r="A25" s="2">
        <v>44767</v>
      </c>
      <c r="B25" s="1">
        <v>63</v>
      </c>
      <c r="C25">
        <f t="shared" si="0"/>
        <v>30</v>
      </c>
      <c r="D25">
        <f t="shared" si="1"/>
        <v>7</v>
      </c>
      <c r="E25">
        <f>VLOOKUP(C25,wau!B:C,2,)</f>
        <v>183</v>
      </c>
      <c r="F25">
        <f>VLOOKUP(D25,mau!B:C,2,)</f>
        <v>193</v>
      </c>
      <c r="G25">
        <f t="shared" si="2"/>
        <v>0.34426229508196721</v>
      </c>
      <c r="H25">
        <f t="shared" si="3"/>
        <v>0.32642487046632124</v>
      </c>
    </row>
    <row r="26" spans="1:25" x14ac:dyDescent="0.2">
      <c r="A26" s="2">
        <v>44768</v>
      </c>
      <c r="B26" s="1">
        <v>48</v>
      </c>
      <c r="C26">
        <f t="shared" si="0"/>
        <v>30</v>
      </c>
      <c r="D26">
        <f t="shared" si="1"/>
        <v>7</v>
      </c>
      <c r="E26">
        <f>VLOOKUP(C26,wau!B:C,2,)</f>
        <v>183</v>
      </c>
      <c r="F26">
        <f>VLOOKUP(D26,mau!B:C,2,)</f>
        <v>193</v>
      </c>
      <c r="G26">
        <f t="shared" si="2"/>
        <v>0.26229508196721313</v>
      </c>
      <c r="H26">
        <f t="shared" si="3"/>
        <v>0.24870466321243523</v>
      </c>
    </row>
    <row r="27" spans="1:25" x14ac:dyDescent="0.2">
      <c r="A27" s="2">
        <v>44769</v>
      </c>
      <c r="B27" s="1">
        <v>59</v>
      </c>
      <c r="C27">
        <f t="shared" si="0"/>
        <v>30</v>
      </c>
      <c r="D27">
        <f t="shared" si="1"/>
        <v>7</v>
      </c>
      <c r="E27">
        <f>VLOOKUP(C27,wau!B:C,2,)</f>
        <v>183</v>
      </c>
      <c r="F27">
        <f>VLOOKUP(D27,mau!B:C,2,)</f>
        <v>193</v>
      </c>
      <c r="G27">
        <f t="shared" si="2"/>
        <v>0.32240437158469948</v>
      </c>
      <c r="H27">
        <f t="shared" si="3"/>
        <v>0.30569948186528495</v>
      </c>
    </row>
    <row r="28" spans="1:25" x14ac:dyDescent="0.2">
      <c r="A28" s="2">
        <v>44770</v>
      </c>
      <c r="B28" s="1">
        <v>59</v>
      </c>
      <c r="C28">
        <f t="shared" si="0"/>
        <v>30</v>
      </c>
      <c r="D28">
        <f t="shared" si="1"/>
        <v>7</v>
      </c>
      <c r="E28">
        <f>VLOOKUP(C28,wau!B:C,2,)</f>
        <v>183</v>
      </c>
      <c r="F28">
        <f>VLOOKUP(D28,mau!B:C,2,)</f>
        <v>193</v>
      </c>
      <c r="G28">
        <f t="shared" si="2"/>
        <v>0.32240437158469948</v>
      </c>
      <c r="H28">
        <f t="shared" si="3"/>
        <v>0.30569948186528495</v>
      </c>
    </row>
    <row r="29" spans="1:25" x14ac:dyDescent="0.2">
      <c r="A29" s="2">
        <v>44771</v>
      </c>
      <c r="B29" s="1">
        <v>61</v>
      </c>
      <c r="C29">
        <f t="shared" si="0"/>
        <v>30</v>
      </c>
      <c r="D29">
        <f t="shared" si="1"/>
        <v>7</v>
      </c>
      <c r="E29">
        <f>VLOOKUP(C29,wau!B:C,2,)</f>
        <v>183</v>
      </c>
      <c r="F29">
        <f>VLOOKUP(D29,mau!B:C,2,)</f>
        <v>193</v>
      </c>
      <c r="G29">
        <f t="shared" si="2"/>
        <v>0.33333333333333331</v>
      </c>
      <c r="H29">
        <f t="shared" si="3"/>
        <v>0.31606217616580312</v>
      </c>
    </row>
    <row r="30" spans="1:25" x14ac:dyDescent="0.2">
      <c r="A30" s="2">
        <v>44772</v>
      </c>
      <c r="B30" s="1">
        <v>64</v>
      </c>
      <c r="C30">
        <f t="shared" si="0"/>
        <v>30</v>
      </c>
      <c r="D30">
        <f t="shared" si="1"/>
        <v>7</v>
      </c>
      <c r="E30">
        <f>VLOOKUP(C30,wau!B:C,2,)</f>
        <v>183</v>
      </c>
      <c r="F30">
        <f>VLOOKUP(D30,mau!B:C,2,)</f>
        <v>193</v>
      </c>
      <c r="G30">
        <f t="shared" si="2"/>
        <v>0.34972677595628415</v>
      </c>
      <c r="H30">
        <f t="shared" si="3"/>
        <v>0.33160621761658032</v>
      </c>
      <c r="U30" s="4" t="s">
        <v>12</v>
      </c>
      <c r="V30" s="4"/>
      <c r="W30" s="4"/>
      <c r="X30" s="4"/>
      <c r="Y30" s="4"/>
    </row>
    <row r="31" spans="1:25" x14ac:dyDescent="0.2">
      <c r="A31" s="2">
        <v>44773</v>
      </c>
      <c r="B31" s="1">
        <v>64</v>
      </c>
      <c r="C31">
        <f t="shared" si="0"/>
        <v>30</v>
      </c>
      <c r="D31">
        <f t="shared" si="1"/>
        <v>7</v>
      </c>
      <c r="E31">
        <f>VLOOKUP(C31,wau!B:C,2,)</f>
        <v>183</v>
      </c>
      <c r="F31">
        <f>VLOOKUP(D31,mau!B:C,2,)</f>
        <v>193</v>
      </c>
      <c r="G31">
        <f t="shared" si="2"/>
        <v>0.34972677595628415</v>
      </c>
      <c r="H31">
        <f t="shared" si="3"/>
        <v>0.33160621761658032</v>
      </c>
      <c r="U31" s="4"/>
      <c r="V31" s="4"/>
      <c r="W31" s="4"/>
      <c r="X31" s="4"/>
      <c r="Y31" s="4"/>
    </row>
    <row r="32" spans="1:25" x14ac:dyDescent="0.2">
      <c r="A32" s="2">
        <v>44774</v>
      </c>
      <c r="B32" s="1">
        <v>52</v>
      </c>
      <c r="C32">
        <f t="shared" si="0"/>
        <v>31</v>
      </c>
      <c r="D32">
        <f t="shared" si="1"/>
        <v>8</v>
      </c>
      <c r="E32">
        <f>VLOOKUP(C32,wau!B:C,2,)</f>
        <v>202</v>
      </c>
      <c r="F32">
        <f>VLOOKUP(D32,mau!B:C,2,)</f>
        <v>366</v>
      </c>
      <c r="G32">
        <f t="shared" si="2"/>
        <v>0.25742574257425743</v>
      </c>
      <c r="H32">
        <f t="shared" si="3"/>
        <v>0.14207650273224043</v>
      </c>
      <c r="U32" s="4"/>
      <c r="V32" s="4"/>
      <c r="W32" s="4"/>
      <c r="X32" s="4"/>
      <c r="Y32" s="4"/>
    </row>
    <row r="33" spans="1:25" x14ac:dyDescent="0.2">
      <c r="A33" s="2">
        <v>44775</v>
      </c>
      <c r="B33" s="1">
        <v>62</v>
      </c>
      <c r="C33">
        <f t="shared" si="0"/>
        <v>31</v>
      </c>
      <c r="D33">
        <f t="shared" si="1"/>
        <v>8</v>
      </c>
      <c r="E33">
        <f>VLOOKUP(C33,wau!B:C,2,)</f>
        <v>202</v>
      </c>
      <c r="F33">
        <f>VLOOKUP(D33,mau!B:C,2,)</f>
        <v>366</v>
      </c>
      <c r="G33">
        <f t="shared" si="2"/>
        <v>0.30693069306930693</v>
      </c>
      <c r="H33">
        <f t="shared" si="3"/>
        <v>0.16939890710382513</v>
      </c>
      <c r="U33" s="4"/>
      <c r="V33" s="4"/>
      <c r="W33" s="4"/>
      <c r="X33" s="4"/>
      <c r="Y33" s="4"/>
    </row>
    <row r="34" spans="1:25" x14ac:dyDescent="0.2">
      <c r="A34" s="2">
        <v>44776</v>
      </c>
      <c r="B34" s="1">
        <v>55</v>
      </c>
      <c r="C34">
        <f t="shared" si="0"/>
        <v>31</v>
      </c>
      <c r="D34">
        <f t="shared" si="1"/>
        <v>8</v>
      </c>
      <c r="E34">
        <f>VLOOKUP(C34,wau!B:C,2,)</f>
        <v>202</v>
      </c>
      <c r="F34">
        <f>VLOOKUP(D34,mau!B:C,2,)</f>
        <v>366</v>
      </c>
      <c r="G34">
        <f t="shared" si="2"/>
        <v>0.2722772277227723</v>
      </c>
      <c r="H34">
        <f t="shared" si="3"/>
        <v>0.15027322404371585</v>
      </c>
      <c r="U34" s="4"/>
      <c r="V34" s="4"/>
      <c r="W34" s="4"/>
      <c r="X34" s="4"/>
      <c r="Y34" s="4"/>
    </row>
    <row r="35" spans="1:25" x14ac:dyDescent="0.2">
      <c r="A35" s="2">
        <v>44777</v>
      </c>
      <c r="B35" s="1">
        <v>60</v>
      </c>
      <c r="C35">
        <f t="shared" si="0"/>
        <v>31</v>
      </c>
      <c r="D35">
        <f t="shared" si="1"/>
        <v>8</v>
      </c>
      <c r="E35">
        <f>VLOOKUP(C35,wau!B:C,2,)</f>
        <v>202</v>
      </c>
      <c r="F35">
        <f>VLOOKUP(D35,mau!B:C,2,)</f>
        <v>366</v>
      </c>
      <c r="G35">
        <f t="shared" si="2"/>
        <v>0.29702970297029702</v>
      </c>
      <c r="H35">
        <f t="shared" si="3"/>
        <v>0.16393442622950818</v>
      </c>
    </row>
    <row r="36" spans="1:25" x14ac:dyDescent="0.2">
      <c r="A36" s="2">
        <v>44778</v>
      </c>
      <c r="B36" s="1">
        <v>52</v>
      </c>
      <c r="C36">
        <f t="shared" si="0"/>
        <v>31</v>
      </c>
      <c r="D36">
        <f t="shared" si="1"/>
        <v>8</v>
      </c>
      <c r="E36">
        <f>VLOOKUP(C36,wau!B:C,2,)</f>
        <v>202</v>
      </c>
      <c r="F36">
        <f>VLOOKUP(D36,mau!B:C,2,)</f>
        <v>366</v>
      </c>
      <c r="G36">
        <f t="shared" si="2"/>
        <v>0.25742574257425743</v>
      </c>
      <c r="H36">
        <f t="shared" si="3"/>
        <v>0.14207650273224043</v>
      </c>
    </row>
    <row r="37" spans="1:25" x14ac:dyDescent="0.2">
      <c r="A37" s="2">
        <v>44779</v>
      </c>
      <c r="B37" s="1">
        <v>62</v>
      </c>
      <c r="C37">
        <f t="shared" si="0"/>
        <v>31</v>
      </c>
      <c r="D37">
        <f t="shared" si="1"/>
        <v>8</v>
      </c>
      <c r="E37">
        <f>VLOOKUP(C37,wau!B:C,2,)</f>
        <v>202</v>
      </c>
      <c r="F37">
        <f>VLOOKUP(D37,mau!B:C,2,)</f>
        <v>366</v>
      </c>
      <c r="G37">
        <f t="shared" si="2"/>
        <v>0.30693069306930693</v>
      </c>
      <c r="H37">
        <f t="shared" si="3"/>
        <v>0.16939890710382513</v>
      </c>
    </row>
    <row r="38" spans="1:25" x14ac:dyDescent="0.2">
      <c r="A38" s="2">
        <v>44780</v>
      </c>
      <c r="B38" s="1">
        <v>59</v>
      </c>
      <c r="C38">
        <f t="shared" si="0"/>
        <v>31</v>
      </c>
      <c r="D38">
        <f t="shared" si="1"/>
        <v>8</v>
      </c>
      <c r="E38">
        <f>VLOOKUP(C38,wau!B:C,2,)</f>
        <v>202</v>
      </c>
      <c r="F38">
        <f>VLOOKUP(D38,mau!B:C,2,)</f>
        <v>366</v>
      </c>
      <c r="G38">
        <f t="shared" si="2"/>
        <v>0.29207920792079206</v>
      </c>
      <c r="H38">
        <f t="shared" si="3"/>
        <v>0.16120218579234974</v>
      </c>
    </row>
    <row r="39" spans="1:25" x14ac:dyDescent="0.2">
      <c r="A39" s="2">
        <v>44781</v>
      </c>
      <c r="B39" s="1">
        <v>58</v>
      </c>
      <c r="C39">
        <f t="shared" si="0"/>
        <v>32</v>
      </c>
      <c r="D39">
        <f t="shared" si="1"/>
        <v>8</v>
      </c>
      <c r="E39">
        <f>VLOOKUP(C39,wau!B:C,2,)</f>
        <v>193</v>
      </c>
      <c r="F39">
        <f>VLOOKUP(D39,mau!B:C,2,)</f>
        <v>366</v>
      </c>
      <c r="G39">
        <f t="shared" si="2"/>
        <v>0.30051813471502592</v>
      </c>
      <c r="H39">
        <f t="shared" si="3"/>
        <v>0.15846994535519127</v>
      </c>
    </row>
    <row r="40" spans="1:25" x14ac:dyDescent="0.2">
      <c r="A40" s="2">
        <v>44782</v>
      </c>
      <c r="B40" s="1">
        <v>53</v>
      </c>
      <c r="C40">
        <f t="shared" si="0"/>
        <v>32</v>
      </c>
      <c r="D40">
        <f t="shared" si="1"/>
        <v>8</v>
      </c>
      <c r="E40">
        <f>VLOOKUP(C40,wau!B:C,2,)</f>
        <v>193</v>
      </c>
      <c r="F40">
        <f>VLOOKUP(D40,mau!B:C,2,)</f>
        <v>366</v>
      </c>
      <c r="G40">
        <f t="shared" si="2"/>
        <v>0.27461139896373055</v>
      </c>
      <c r="H40">
        <f t="shared" si="3"/>
        <v>0.1448087431693989</v>
      </c>
    </row>
    <row r="41" spans="1:25" x14ac:dyDescent="0.2">
      <c r="A41" s="2">
        <v>44783</v>
      </c>
      <c r="B41" s="1">
        <v>55</v>
      </c>
      <c r="C41">
        <f t="shared" si="0"/>
        <v>32</v>
      </c>
      <c r="D41">
        <f t="shared" si="1"/>
        <v>8</v>
      </c>
      <c r="E41">
        <f>VLOOKUP(C41,wau!B:C,2,)</f>
        <v>193</v>
      </c>
      <c r="F41">
        <f>VLOOKUP(D41,mau!B:C,2,)</f>
        <v>366</v>
      </c>
      <c r="G41">
        <f t="shared" si="2"/>
        <v>0.28497409326424872</v>
      </c>
      <c r="H41">
        <f t="shared" si="3"/>
        <v>0.15027322404371585</v>
      </c>
    </row>
    <row r="42" spans="1:25" x14ac:dyDescent="0.2">
      <c r="A42" s="2">
        <v>44784</v>
      </c>
      <c r="B42" s="1">
        <v>65</v>
      </c>
      <c r="C42">
        <f t="shared" si="0"/>
        <v>32</v>
      </c>
      <c r="D42">
        <f t="shared" si="1"/>
        <v>8</v>
      </c>
      <c r="E42">
        <f>VLOOKUP(C42,wau!B:C,2,)</f>
        <v>193</v>
      </c>
      <c r="F42">
        <f>VLOOKUP(D42,mau!B:C,2,)</f>
        <v>366</v>
      </c>
      <c r="G42">
        <f t="shared" si="2"/>
        <v>0.33678756476683935</v>
      </c>
      <c r="H42">
        <f t="shared" si="3"/>
        <v>0.17759562841530055</v>
      </c>
    </row>
    <row r="43" spans="1:25" x14ac:dyDescent="0.2">
      <c r="A43" s="2">
        <v>44785</v>
      </c>
      <c r="B43" s="1">
        <v>54</v>
      </c>
      <c r="C43">
        <f t="shared" si="0"/>
        <v>32</v>
      </c>
      <c r="D43">
        <f t="shared" si="1"/>
        <v>8</v>
      </c>
      <c r="E43">
        <f>VLOOKUP(C43,wau!B:C,2,)</f>
        <v>193</v>
      </c>
      <c r="F43">
        <f>VLOOKUP(D43,mau!B:C,2,)</f>
        <v>366</v>
      </c>
      <c r="G43">
        <f t="shared" si="2"/>
        <v>0.27979274611398963</v>
      </c>
      <c r="H43">
        <f t="shared" si="3"/>
        <v>0.14754098360655737</v>
      </c>
    </row>
    <row r="44" spans="1:25" x14ac:dyDescent="0.2">
      <c r="A44" s="2">
        <v>44786</v>
      </c>
      <c r="B44" s="1">
        <v>74</v>
      </c>
      <c r="C44">
        <f t="shared" si="0"/>
        <v>32</v>
      </c>
      <c r="D44">
        <f t="shared" si="1"/>
        <v>8</v>
      </c>
      <c r="E44">
        <f>VLOOKUP(C44,wau!B:C,2,)</f>
        <v>193</v>
      </c>
      <c r="F44">
        <f>VLOOKUP(D44,mau!B:C,2,)</f>
        <v>366</v>
      </c>
      <c r="G44">
        <f t="shared" si="2"/>
        <v>0.38341968911917096</v>
      </c>
      <c r="H44">
        <f t="shared" si="3"/>
        <v>0.20218579234972678</v>
      </c>
    </row>
    <row r="45" spans="1:25" x14ac:dyDescent="0.2">
      <c r="A45" s="2">
        <v>44787</v>
      </c>
      <c r="B45" s="1">
        <v>59</v>
      </c>
      <c r="C45">
        <f t="shared" si="0"/>
        <v>32</v>
      </c>
      <c r="D45">
        <f t="shared" si="1"/>
        <v>8</v>
      </c>
      <c r="E45">
        <f>VLOOKUP(C45,wau!B:C,2,)</f>
        <v>193</v>
      </c>
      <c r="F45">
        <f>VLOOKUP(D45,mau!B:C,2,)</f>
        <v>366</v>
      </c>
      <c r="G45">
        <f t="shared" si="2"/>
        <v>0.30569948186528495</v>
      </c>
      <c r="H45">
        <f t="shared" si="3"/>
        <v>0.16120218579234974</v>
      </c>
    </row>
    <row r="46" spans="1:25" x14ac:dyDescent="0.2">
      <c r="A46" s="2">
        <v>44788</v>
      </c>
      <c r="B46" s="1">
        <v>54</v>
      </c>
      <c r="C46">
        <f t="shared" si="0"/>
        <v>33</v>
      </c>
      <c r="D46">
        <f t="shared" si="1"/>
        <v>8</v>
      </c>
      <c r="E46">
        <f>VLOOKUP(C46,wau!B:C,2,)</f>
        <v>201</v>
      </c>
      <c r="F46">
        <f>VLOOKUP(D46,mau!B:C,2,)</f>
        <v>366</v>
      </c>
      <c r="G46">
        <f t="shared" si="2"/>
        <v>0.26865671641791045</v>
      </c>
      <c r="H46">
        <f t="shared" si="3"/>
        <v>0.14754098360655737</v>
      </c>
    </row>
    <row r="47" spans="1:25" x14ac:dyDescent="0.2">
      <c r="A47" s="2">
        <v>44789</v>
      </c>
      <c r="B47" s="1">
        <v>68</v>
      </c>
      <c r="C47">
        <f t="shared" si="0"/>
        <v>33</v>
      </c>
      <c r="D47">
        <f t="shared" si="1"/>
        <v>8</v>
      </c>
      <c r="E47">
        <f>VLOOKUP(C47,wau!B:C,2,)</f>
        <v>201</v>
      </c>
      <c r="F47">
        <f>VLOOKUP(D47,mau!B:C,2,)</f>
        <v>366</v>
      </c>
      <c r="G47">
        <f t="shared" si="2"/>
        <v>0.3383084577114428</v>
      </c>
      <c r="H47">
        <f t="shared" si="3"/>
        <v>0.18579234972677597</v>
      </c>
    </row>
    <row r="48" spans="1:25" x14ac:dyDescent="0.2">
      <c r="A48" s="2">
        <v>44790</v>
      </c>
      <c r="B48" s="1">
        <v>59</v>
      </c>
      <c r="C48">
        <f t="shared" si="0"/>
        <v>33</v>
      </c>
      <c r="D48">
        <f t="shared" si="1"/>
        <v>8</v>
      </c>
      <c r="E48">
        <f>VLOOKUP(C48,wau!B:C,2,)</f>
        <v>201</v>
      </c>
      <c r="F48">
        <f>VLOOKUP(D48,mau!B:C,2,)</f>
        <v>366</v>
      </c>
      <c r="G48">
        <f t="shared" si="2"/>
        <v>0.29353233830845771</v>
      </c>
      <c r="H48">
        <f t="shared" si="3"/>
        <v>0.16120218579234974</v>
      </c>
    </row>
    <row r="49" spans="1:8" x14ac:dyDescent="0.2">
      <c r="A49" s="2">
        <v>44791</v>
      </c>
      <c r="B49" s="1">
        <v>61</v>
      </c>
      <c r="C49">
        <f t="shared" si="0"/>
        <v>33</v>
      </c>
      <c r="D49">
        <f t="shared" si="1"/>
        <v>8</v>
      </c>
      <c r="E49">
        <f>VLOOKUP(C49,wau!B:C,2,)</f>
        <v>201</v>
      </c>
      <c r="F49">
        <f>VLOOKUP(D49,mau!B:C,2,)</f>
        <v>366</v>
      </c>
      <c r="G49">
        <f t="shared" si="2"/>
        <v>0.30348258706467662</v>
      </c>
      <c r="H49">
        <f t="shared" si="3"/>
        <v>0.16666666666666666</v>
      </c>
    </row>
    <row r="50" spans="1:8" x14ac:dyDescent="0.2">
      <c r="A50" s="2">
        <v>44792</v>
      </c>
      <c r="B50" s="1">
        <v>58</v>
      </c>
      <c r="C50">
        <f t="shared" si="0"/>
        <v>33</v>
      </c>
      <c r="D50">
        <f t="shared" si="1"/>
        <v>8</v>
      </c>
      <c r="E50">
        <f>VLOOKUP(C50,wau!B:C,2,)</f>
        <v>201</v>
      </c>
      <c r="F50">
        <f>VLOOKUP(D50,mau!B:C,2,)</f>
        <v>366</v>
      </c>
      <c r="G50">
        <f t="shared" si="2"/>
        <v>0.28855721393034828</v>
      </c>
      <c r="H50">
        <f t="shared" si="3"/>
        <v>0.15846994535519127</v>
      </c>
    </row>
    <row r="51" spans="1:8" x14ac:dyDescent="0.2">
      <c r="A51" s="2">
        <v>44793</v>
      </c>
      <c r="B51" s="1">
        <v>67</v>
      </c>
      <c r="C51">
        <f t="shared" si="0"/>
        <v>33</v>
      </c>
      <c r="D51">
        <f t="shared" si="1"/>
        <v>8</v>
      </c>
      <c r="E51">
        <f>VLOOKUP(C51,wau!B:C,2,)</f>
        <v>201</v>
      </c>
      <c r="F51">
        <f>VLOOKUP(D51,mau!B:C,2,)</f>
        <v>366</v>
      </c>
      <c r="G51">
        <f t="shared" si="2"/>
        <v>0.33333333333333331</v>
      </c>
      <c r="H51">
        <f t="shared" si="3"/>
        <v>0.1830601092896175</v>
      </c>
    </row>
    <row r="52" spans="1:8" x14ac:dyDescent="0.2">
      <c r="A52" s="2">
        <v>44794</v>
      </c>
      <c r="B52" s="1">
        <v>62</v>
      </c>
      <c r="C52">
        <f t="shared" si="0"/>
        <v>33</v>
      </c>
      <c r="D52">
        <f t="shared" si="1"/>
        <v>8</v>
      </c>
      <c r="E52">
        <f>VLOOKUP(C52,wau!B:C,2,)</f>
        <v>201</v>
      </c>
      <c r="F52">
        <f>VLOOKUP(D52,mau!B:C,2,)</f>
        <v>366</v>
      </c>
      <c r="G52">
        <f t="shared" si="2"/>
        <v>0.30845771144278605</v>
      </c>
      <c r="H52">
        <f t="shared" si="3"/>
        <v>0.16939890710382513</v>
      </c>
    </row>
    <row r="53" spans="1:8" x14ac:dyDescent="0.2">
      <c r="A53" s="2">
        <v>44795</v>
      </c>
      <c r="B53" s="1">
        <v>53</v>
      </c>
      <c r="C53">
        <f t="shared" si="0"/>
        <v>34</v>
      </c>
      <c r="D53">
        <f t="shared" si="1"/>
        <v>8</v>
      </c>
      <c r="E53">
        <f>VLOOKUP(C53,wau!B:C,2,)</f>
        <v>206</v>
      </c>
      <c r="F53">
        <f>VLOOKUP(D53,mau!B:C,2,)</f>
        <v>366</v>
      </c>
      <c r="G53">
        <f t="shared" si="2"/>
        <v>0.25728155339805825</v>
      </c>
      <c r="H53">
        <f t="shared" si="3"/>
        <v>0.1448087431693989</v>
      </c>
    </row>
    <row r="54" spans="1:8" x14ac:dyDescent="0.2">
      <c r="A54" s="2">
        <v>44796</v>
      </c>
      <c r="B54" s="1">
        <v>60</v>
      </c>
      <c r="C54">
        <f t="shared" si="0"/>
        <v>34</v>
      </c>
      <c r="D54">
        <f t="shared" si="1"/>
        <v>8</v>
      </c>
      <c r="E54">
        <f>VLOOKUP(C54,wau!B:C,2,)</f>
        <v>206</v>
      </c>
      <c r="F54">
        <f>VLOOKUP(D54,mau!B:C,2,)</f>
        <v>366</v>
      </c>
      <c r="G54">
        <f t="shared" si="2"/>
        <v>0.29126213592233008</v>
      </c>
      <c r="H54">
        <f t="shared" si="3"/>
        <v>0.16393442622950818</v>
      </c>
    </row>
    <row r="55" spans="1:8" x14ac:dyDescent="0.2">
      <c r="A55" s="2">
        <v>44797</v>
      </c>
      <c r="B55" s="1">
        <v>67</v>
      </c>
      <c r="C55">
        <f t="shared" si="0"/>
        <v>34</v>
      </c>
      <c r="D55">
        <f t="shared" si="1"/>
        <v>8</v>
      </c>
      <c r="E55">
        <f>VLOOKUP(C55,wau!B:C,2,)</f>
        <v>206</v>
      </c>
      <c r="F55">
        <f>VLOOKUP(D55,mau!B:C,2,)</f>
        <v>366</v>
      </c>
      <c r="G55">
        <f t="shared" si="2"/>
        <v>0.32524271844660196</v>
      </c>
      <c r="H55">
        <f t="shared" si="3"/>
        <v>0.1830601092896175</v>
      </c>
    </row>
    <row r="56" spans="1:8" x14ac:dyDescent="0.2">
      <c r="A56" s="2">
        <v>44798</v>
      </c>
      <c r="B56" s="1">
        <v>67</v>
      </c>
      <c r="C56">
        <f t="shared" si="0"/>
        <v>34</v>
      </c>
      <c r="D56">
        <f t="shared" si="1"/>
        <v>8</v>
      </c>
      <c r="E56">
        <f>VLOOKUP(C56,wau!B:C,2,)</f>
        <v>206</v>
      </c>
      <c r="F56">
        <f>VLOOKUP(D56,mau!B:C,2,)</f>
        <v>366</v>
      </c>
      <c r="G56">
        <f t="shared" si="2"/>
        <v>0.32524271844660196</v>
      </c>
      <c r="H56">
        <f t="shared" si="3"/>
        <v>0.1830601092896175</v>
      </c>
    </row>
    <row r="57" spans="1:8" x14ac:dyDescent="0.2">
      <c r="A57" s="2">
        <v>44799</v>
      </c>
      <c r="B57" s="1">
        <v>61</v>
      </c>
      <c r="C57">
        <f t="shared" si="0"/>
        <v>34</v>
      </c>
      <c r="D57">
        <f t="shared" si="1"/>
        <v>8</v>
      </c>
      <c r="E57">
        <f>VLOOKUP(C57,wau!B:C,2,)</f>
        <v>206</v>
      </c>
      <c r="F57">
        <f>VLOOKUP(D57,mau!B:C,2,)</f>
        <v>366</v>
      </c>
      <c r="G57">
        <f t="shared" si="2"/>
        <v>0.29611650485436891</v>
      </c>
      <c r="H57">
        <f t="shared" si="3"/>
        <v>0.16666666666666666</v>
      </c>
    </row>
    <row r="58" spans="1:8" x14ac:dyDescent="0.2">
      <c r="A58" s="2">
        <v>44800</v>
      </c>
      <c r="B58" s="1">
        <v>63</v>
      </c>
      <c r="C58">
        <f t="shared" si="0"/>
        <v>34</v>
      </c>
      <c r="D58">
        <f t="shared" si="1"/>
        <v>8</v>
      </c>
      <c r="E58">
        <f>VLOOKUP(C58,wau!B:C,2,)</f>
        <v>206</v>
      </c>
      <c r="F58">
        <f>VLOOKUP(D58,mau!B:C,2,)</f>
        <v>366</v>
      </c>
      <c r="G58">
        <f t="shared" si="2"/>
        <v>0.30582524271844658</v>
      </c>
      <c r="H58">
        <f t="shared" si="3"/>
        <v>0.1721311475409836</v>
      </c>
    </row>
    <row r="59" spans="1:8" x14ac:dyDescent="0.2">
      <c r="A59" s="2">
        <v>44801</v>
      </c>
      <c r="B59" s="1">
        <v>61</v>
      </c>
      <c r="C59">
        <f t="shared" si="0"/>
        <v>34</v>
      </c>
      <c r="D59">
        <f t="shared" si="1"/>
        <v>8</v>
      </c>
      <c r="E59">
        <f>VLOOKUP(C59,wau!B:C,2,)</f>
        <v>206</v>
      </c>
      <c r="F59">
        <f>VLOOKUP(D59,mau!B:C,2,)</f>
        <v>366</v>
      </c>
      <c r="G59">
        <f t="shared" si="2"/>
        <v>0.29611650485436891</v>
      </c>
      <c r="H59">
        <f t="shared" si="3"/>
        <v>0.16666666666666666</v>
      </c>
    </row>
    <row r="60" spans="1:8" x14ac:dyDescent="0.2">
      <c r="A60" s="2">
        <v>44802</v>
      </c>
      <c r="B60" s="1">
        <v>54</v>
      </c>
      <c r="C60">
        <f t="shared" si="0"/>
        <v>35</v>
      </c>
      <c r="D60">
        <f t="shared" si="1"/>
        <v>8</v>
      </c>
      <c r="E60">
        <f>VLOOKUP(C60,wau!B:C,2,)</f>
        <v>192</v>
      </c>
      <c r="F60">
        <f>VLOOKUP(D60,mau!B:C,2,)</f>
        <v>366</v>
      </c>
      <c r="G60">
        <f t="shared" si="2"/>
        <v>0.28125</v>
      </c>
      <c r="H60">
        <f t="shared" si="3"/>
        <v>0.14754098360655737</v>
      </c>
    </row>
    <row r="61" spans="1:8" x14ac:dyDescent="0.2">
      <c r="A61" s="2">
        <v>44803</v>
      </c>
      <c r="B61" s="1">
        <v>72</v>
      </c>
      <c r="C61">
        <f t="shared" si="0"/>
        <v>35</v>
      </c>
      <c r="D61">
        <f t="shared" si="1"/>
        <v>8</v>
      </c>
      <c r="E61">
        <f>VLOOKUP(C61,wau!B:C,2,)</f>
        <v>192</v>
      </c>
      <c r="F61">
        <f>VLOOKUP(D61,mau!B:C,2,)</f>
        <v>366</v>
      </c>
      <c r="G61">
        <f t="shared" si="2"/>
        <v>0.375</v>
      </c>
      <c r="H61">
        <f t="shared" si="3"/>
        <v>0.19672131147540983</v>
      </c>
    </row>
    <row r="62" spans="1:8" x14ac:dyDescent="0.2">
      <c r="A62" s="2">
        <v>44804</v>
      </c>
      <c r="B62" s="1">
        <v>54</v>
      </c>
      <c r="C62">
        <f t="shared" si="0"/>
        <v>35</v>
      </c>
      <c r="D62">
        <f t="shared" si="1"/>
        <v>8</v>
      </c>
      <c r="E62">
        <f>VLOOKUP(C62,wau!B:C,2,)</f>
        <v>192</v>
      </c>
      <c r="F62">
        <f>VLOOKUP(D62,mau!B:C,2,)</f>
        <v>366</v>
      </c>
      <c r="G62">
        <f t="shared" si="2"/>
        <v>0.28125</v>
      </c>
      <c r="H62">
        <f t="shared" si="3"/>
        <v>0.14754098360655737</v>
      </c>
    </row>
    <row r="63" spans="1:8" x14ac:dyDescent="0.2">
      <c r="A63" s="2">
        <v>44805</v>
      </c>
      <c r="B63" s="1">
        <v>66</v>
      </c>
      <c r="C63">
        <f t="shared" si="0"/>
        <v>35</v>
      </c>
      <c r="D63">
        <f t="shared" si="1"/>
        <v>9</v>
      </c>
      <c r="E63">
        <f>VLOOKUP(C63,wau!B:C,2,)</f>
        <v>192</v>
      </c>
      <c r="F63">
        <f>VLOOKUP(D63,mau!B:C,2,)</f>
        <v>378</v>
      </c>
      <c r="G63">
        <f t="shared" si="2"/>
        <v>0.34375</v>
      </c>
      <c r="H63">
        <f t="shared" si="3"/>
        <v>0.17460317460317459</v>
      </c>
    </row>
    <row r="64" spans="1:8" x14ac:dyDescent="0.2">
      <c r="A64" s="2">
        <v>44806</v>
      </c>
      <c r="B64" s="1">
        <v>61</v>
      </c>
      <c r="C64">
        <f t="shared" si="0"/>
        <v>35</v>
      </c>
      <c r="D64">
        <f t="shared" si="1"/>
        <v>9</v>
      </c>
      <c r="E64">
        <f>VLOOKUP(C64,wau!B:C,2,)</f>
        <v>192</v>
      </c>
      <c r="F64">
        <f>VLOOKUP(D64,mau!B:C,2,)</f>
        <v>378</v>
      </c>
      <c r="G64">
        <f t="shared" si="2"/>
        <v>0.31770833333333331</v>
      </c>
      <c r="H64">
        <f t="shared" si="3"/>
        <v>0.16137566137566137</v>
      </c>
    </row>
    <row r="65" spans="1:8" x14ac:dyDescent="0.2">
      <c r="A65" s="2">
        <v>44807</v>
      </c>
      <c r="B65" s="1">
        <v>58</v>
      </c>
      <c r="C65">
        <f t="shared" si="0"/>
        <v>35</v>
      </c>
      <c r="D65">
        <f t="shared" si="1"/>
        <v>9</v>
      </c>
      <c r="E65">
        <f>VLOOKUP(C65,wau!B:C,2,)</f>
        <v>192</v>
      </c>
      <c r="F65">
        <f>VLOOKUP(D65,mau!B:C,2,)</f>
        <v>378</v>
      </c>
      <c r="G65">
        <f t="shared" si="2"/>
        <v>0.30208333333333331</v>
      </c>
      <c r="H65">
        <f t="shared" si="3"/>
        <v>0.15343915343915343</v>
      </c>
    </row>
    <row r="66" spans="1:8" x14ac:dyDescent="0.2">
      <c r="A66" s="2">
        <v>44808</v>
      </c>
      <c r="B66" s="1">
        <v>64</v>
      </c>
      <c r="C66">
        <f t="shared" si="0"/>
        <v>35</v>
      </c>
      <c r="D66">
        <f t="shared" si="1"/>
        <v>9</v>
      </c>
      <c r="E66">
        <f>VLOOKUP(C66,wau!B:C,2,)</f>
        <v>192</v>
      </c>
      <c r="F66">
        <f>VLOOKUP(D66,mau!B:C,2,)</f>
        <v>378</v>
      </c>
      <c r="G66">
        <f t="shared" si="2"/>
        <v>0.33333333333333331</v>
      </c>
      <c r="H66">
        <f t="shared" si="3"/>
        <v>0.1693121693121693</v>
      </c>
    </row>
    <row r="67" spans="1:8" x14ac:dyDescent="0.2">
      <c r="A67" s="2">
        <v>44809</v>
      </c>
      <c r="B67" s="1">
        <v>62</v>
      </c>
      <c r="C67">
        <f t="shared" ref="C67:C130" si="4">_xlfn.ISOWEEKNUM(A67)</f>
        <v>36</v>
      </c>
      <c r="D67">
        <f t="shared" ref="D67:D130" si="5">MONTH(A67)</f>
        <v>9</v>
      </c>
      <c r="E67">
        <f>VLOOKUP(C67,wau!B:C,2,)</f>
        <v>196</v>
      </c>
      <c r="F67">
        <f>VLOOKUP(D67,mau!B:C,2,)</f>
        <v>378</v>
      </c>
      <c r="G67">
        <f t="shared" ref="G67:G130" si="6">B67/E67</f>
        <v>0.31632653061224492</v>
      </c>
      <c r="H67">
        <f t="shared" ref="H67:H130" si="7">B67/F67</f>
        <v>0.16402116402116401</v>
      </c>
    </row>
    <row r="68" spans="1:8" x14ac:dyDescent="0.2">
      <c r="A68" s="2">
        <v>44810</v>
      </c>
      <c r="B68" s="1">
        <v>46</v>
      </c>
      <c r="C68">
        <f t="shared" si="4"/>
        <v>36</v>
      </c>
      <c r="D68">
        <f t="shared" si="5"/>
        <v>9</v>
      </c>
      <c r="E68">
        <f>VLOOKUP(C68,wau!B:C,2,)</f>
        <v>196</v>
      </c>
      <c r="F68">
        <f>VLOOKUP(D68,mau!B:C,2,)</f>
        <v>378</v>
      </c>
      <c r="G68">
        <f t="shared" si="6"/>
        <v>0.23469387755102042</v>
      </c>
      <c r="H68">
        <f t="shared" si="7"/>
        <v>0.12169312169312169</v>
      </c>
    </row>
    <row r="69" spans="1:8" x14ac:dyDescent="0.2">
      <c r="A69" s="2">
        <v>44811</v>
      </c>
      <c r="B69" s="1">
        <v>49</v>
      </c>
      <c r="C69">
        <f t="shared" si="4"/>
        <v>36</v>
      </c>
      <c r="D69">
        <f t="shared" si="5"/>
        <v>9</v>
      </c>
      <c r="E69">
        <f>VLOOKUP(C69,wau!B:C,2,)</f>
        <v>196</v>
      </c>
      <c r="F69">
        <f>VLOOKUP(D69,mau!B:C,2,)</f>
        <v>378</v>
      </c>
      <c r="G69">
        <f t="shared" si="6"/>
        <v>0.25</v>
      </c>
      <c r="H69">
        <f t="shared" si="7"/>
        <v>0.12962962962962962</v>
      </c>
    </row>
    <row r="70" spans="1:8" x14ac:dyDescent="0.2">
      <c r="A70" s="2">
        <v>44812</v>
      </c>
      <c r="B70" s="1">
        <v>59</v>
      </c>
      <c r="C70">
        <f t="shared" si="4"/>
        <v>36</v>
      </c>
      <c r="D70">
        <f t="shared" si="5"/>
        <v>9</v>
      </c>
      <c r="E70">
        <f>VLOOKUP(C70,wau!B:C,2,)</f>
        <v>196</v>
      </c>
      <c r="F70">
        <f>VLOOKUP(D70,mau!B:C,2,)</f>
        <v>378</v>
      </c>
      <c r="G70">
        <f t="shared" si="6"/>
        <v>0.30102040816326531</v>
      </c>
      <c r="H70">
        <f t="shared" si="7"/>
        <v>0.15608465608465608</v>
      </c>
    </row>
    <row r="71" spans="1:8" x14ac:dyDescent="0.2">
      <c r="A71" s="2">
        <v>44813</v>
      </c>
      <c r="B71" s="1">
        <v>60</v>
      </c>
      <c r="C71">
        <f t="shared" si="4"/>
        <v>36</v>
      </c>
      <c r="D71">
        <f t="shared" si="5"/>
        <v>9</v>
      </c>
      <c r="E71">
        <f>VLOOKUP(C71,wau!B:C,2,)</f>
        <v>196</v>
      </c>
      <c r="F71">
        <f>VLOOKUP(D71,mau!B:C,2,)</f>
        <v>378</v>
      </c>
      <c r="G71">
        <f t="shared" si="6"/>
        <v>0.30612244897959184</v>
      </c>
      <c r="H71">
        <f t="shared" si="7"/>
        <v>0.15873015873015872</v>
      </c>
    </row>
    <row r="72" spans="1:8" x14ac:dyDescent="0.2">
      <c r="A72" s="2">
        <v>44814</v>
      </c>
      <c r="B72" s="1">
        <v>53</v>
      </c>
      <c r="C72">
        <f t="shared" si="4"/>
        <v>36</v>
      </c>
      <c r="D72">
        <f t="shared" si="5"/>
        <v>9</v>
      </c>
      <c r="E72">
        <f>VLOOKUP(C72,wau!B:C,2,)</f>
        <v>196</v>
      </c>
      <c r="F72">
        <f>VLOOKUP(D72,mau!B:C,2,)</f>
        <v>378</v>
      </c>
      <c r="G72">
        <f t="shared" si="6"/>
        <v>0.27040816326530615</v>
      </c>
      <c r="H72">
        <f t="shared" si="7"/>
        <v>0.1402116402116402</v>
      </c>
    </row>
    <row r="73" spans="1:8" x14ac:dyDescent="0.2">
      <c r="A73" s="2">
        <v>44815</v>
      </c>
      <c r="B73" s="1">
        <v>61</v>
      </c>
      <c r="C73">
        <f t="shared" si="4"/>
        <v>36</v>
      </c>
      <c r="D73">
        <f t="shared" si="5"/>
        <v>9</v>
      </c>
      <c r="E73">
        <f>VLOOKUP(C73,wau!B:C,2,)</f>
        <v>196</v>
      </c>
      <c r="F73">
        <f>VLOOKUP(D73,mau!B:C,2,)</f>
        <v>378</v>
      </c>
      <c r="G73">
        <f t="shared" si="6"/>
        <v>0.31122448979591838</v>
      </c>
      <c r="H73">
        <f t="shared" si="7"/>
        <v>0.16137566137566137</v>
      </c>
    </row>
    <row r="74" spans="1:8" x14ac:dyDescent="0.2">
      <c r="A74" s="2">
        <v>44816</v>
      </c>
      <c r="B74" s="1">
        <v>58</v>
      </c>
      <c r="C74">
        <f t="shared" si="4"/>
        <v>37</v>
      </c>
      <c r="D74">
        <f t="shared" si="5"/>
        <v>9</v>
      </c>
      <c r="E74">
        <f>VLOOKUP(C74,wau!B:C,2,)</f>
        <v>205</v>
      </c>
      <c r="F74">
        <f>VLOOKUP(D74,mau!B:C,2,)</f>
        <v>378</v>
      </c>
      <c r="G74">
        <f t="shared" si="6"/>
        <v>0.28292682926829266</v>
      </c>
      <c r="H74">
        <f t="shared" si="7"/>
        <v>0.15343915343915343</v>
      </c>
    </row>
    <row r="75" spans="1:8" x14ac:dyDescent="0.2">
      <c r="A75" s="2">
        <v>44817</v>
      </c>
      <c r="B75" s="1">
        <v>64</v>
      </c>
      <c r="C75">
        <f t="shared" si="4"/>
        <v>37</v>
      </c>
      <c r="D75">
        <f t="shared" si="5"/>
        <v>9</v>
      </c>
      <c r="E75">
        <f>VLOOKUP(C75,wau!B:C,2,)</f>
        <v>205</v>
      </c>
      <c r="F75">
        <f>VLOOKUP(D75,mau!B:C,2,)</f>
        <v>378</v>
      </c>
      <c r="G75">
        <f t="shared" si="6"/>
        <v>0.31219512195121951</v>
      </c>
      <c r="H75">
        <f t="shared" si="7"/>
        <v>0.1693121693121693</v>
      </c>
    </row>
    <row r="76" spans="1:8" x14ac:dyDescent="0.2">
      <c r="A76" s="2">
        <v>44818</v>
      </c>
      <c r="B76" s="1">
        <v>65</v>
      </c>
      <c r="C76">
        <f t="shared" si="4"/>
        <v>37</v>
      </c>
      <c r="D76">
        <f t="shared" si="5"/>
        <v>9</v>
      </c>
      <c r="E76">
        <f>VLOOKUP(C76,wau!B:C,2,)</f>
        <v>205</v>
      </c>
      <c r="F76">
        <f>VLOOKUP(D76,mau!B:C,2,)</f>
        <v>378</v>
      </c>
      <c r="G76">
        <f t="shared" si="6"/>
        <v>0.31707317073170732</v>
      </c>
      <c r="H76">
        <f t="shared" si="7"/>
        <v>0.17195767195767195</v>
      </c>
    </row>
    <row r="77" spans="1:8" x14ac:dyDescent="0.2">
      <c r="A77" s="2">
        <v>44819</v>
      </c>
      <c r="B77" s="1">
        <v>74</v>
      </c>
      <c r="C77">
        <f t="shared" si="4"/>
        <v>37</v>
      </c>
      <c r="D77">
        <f t="shared" si="5"/>
        <v>9</v>
      </c>
      <c r="E77">
        <f>VLOOKUP(C77,wau!B:C,2,)</f>
        <v>205</v>
      </c>
      <c r="F77">
        <f>VLOOKUP(D77,mau!B:C,2,)</f>
        <v>378</v>
      </c>
      <c r="G77">
        <f t="shared" si="6"/>
        <v>0.36097560975609755</v>
      </c>
      <c r="H77">
        <f t="shared" si="7"/>
        <v>0.19576719576719576</v>
      </c>
    </row>
    <row r="78" spans="1:8" x14ac:dyDescent="0.2">
      <c r="A78" s="2">
        <v>44820</v>
      </c>
      <c r="B78" s="1">
        <v>58</v>
      </c>
      <c r="C78">
        <f t="shared" si="4"/>
        <v>37</v>
      </c>
      <c r="D78">
        <f t="shared" si="5"/>
        <v>9</v>
      </c>
      <c r="E78">
        <f>VLOOKUP(C78,wau!B:C,2,)</f>
        <v>205</v>
      </c>
      <c r="F78">
        <f>VLOOKUP(D78,mau!B:C,2,)</f>
        <v>378</v>
      </c>
      <c r="G78">
        <f t="shared" si="6"/>
        <v>0.28292682926829266</v>
      </c>
      <c r="H78">
        <f t="shared" si="7"/>
        <v>0.15343915343915343</v>
      </c>
    </row>
    <row r="79" spans="1:8" x14ac:dyDescent="0.2">
      <c r="A79" s="2">
        <v>44821</v>
      </c>
      <c r="B79" s="1">
        <v>62</v>
      </c>
      <c r="C79">
        <f t="shared" si="4"/>
        <v>37</v>
      </c>
      <c r="D79">
        <f t="shared" si="5"/>
        <v>9</v>
      </c>
      <c r="E79">
        <f>VLOOKUP(C79,wau!B:C,2,)</f>
        <v>205</v>
      </c>
      <c r="F79">
        <f>VLOOKUP(D79,mau!B:C,2,)</f>
        <v>378</v>
      </c>
      <c r="G79">
        <f t="shared" si="6"/>
        <v>0.30243902439024389</v>
      </c>
      <c r="H79">
        <f t="shared" si="7"/>
        <v>0.16402116402116401</v>
      </c>
    </row>
    <row r="80" spans="1:8" x14ac:dyDescent="0.2">
      <c r="A80" s="2">
        <v>44822</v>
      </c>
      <c r="B80" s="1">
        <v>69</v>
      </c>
      <c r="C80">
        <f t="shared" si="4"/>
        <v>37</v>
      </c>
      <c r="D80">
        <f t="shared" si="5"/>
        <v>9</v>
      </c>
      <c r="E80">
        <f>VLOOKUP(C80,wau!B:C,2,)</f>
        <v>205</v>
      </c>
      <c r="F80">
        <f>VLOOKUP(D80,mau!B:C,2,)</f>
        <v>378</v>
      </c>
      <c r="G80">
        <f t="shared" si="6"/>
        <v>0.33658536585365856</v>
      </c>
      <c r="H80">
        <f t="shared" si="7"/>
        <v>0.18253968253968253</v>
      </c>
    </row>
    <row r="81" spans="1:8" x14ac:dyDescent="0.2">
      <c r="A81" s="2">
        <v>44823</v>
      </c>
      <c r="B81" s="1">
        <v>66</v>
      </c>
      <c r="C81">
        <f t="shared" si="4"/>
        <v>38</v>
      </c>
      <c r="D81">
        <f t="shared" si="5"/>
        <v>9</v>
      </c>
      <c r="E81">
        <f>VLOOKUP(C81,wau!B:C,2,)</f>
        <v>213</v>
      </c>
      <c r="F81">
        <f>VLOOKUP(D81,mau!B:C,2,)</f>
        <v>378</v>
      </c>
      <c r="G81">
        <f t="shared" si="6"/>
        <v>0.30985915492957744</v>
      </c>
      <c r="H81">
        <f t="shared" si="7"/>
        <v>0.17460317460317459</v>
      </c>
    </row>
    <row r="82" spans="1:8" x14ac:dyDescent="0.2">
      <c r="A82" s="2">
        <v>44824</v>
      </c>
      <c r="B82" s="1">
        <v>67</v>
      </c>
      <c r="C82">
        <f t="shared" si="4"/>
        <v>38</v>
      </c>
      <c r="D82">
        <f t="shared" si="5"/>
        <v>9</v>
      </c>
      <c r="E82">
        <f>VLOOKUP(C82,wau!B:C,2,)</f>
        <v>213</v>
      </c>
      <c r="F82">
        <f>VLOOKUP(D82,mau!B:C,2,)</f>
        <v>378</v>
      </c>
      <c r="G82">
        <f t="shared" si="6"/>
        <v>0.31455399061032863</v>
      </c>
      <c r="H82">
        <f t="shared" si="7"/>
        <v>0.17724867724867724</v>
      </c>
    </row>
    <row r="83" spans="1:8" x14ac:dyDescent="0.2">
      <c r="A83" s="2">
        <v>44825</v>
      </c>
      <c r="B83" s="1">
        <v>71</v>
      </c>
      <c r="C83">
        <f t="shared" si="4"/>
        <v>38</v>
      </c>
      <c r="D83">
        <f t="shared" si="5"/>
        <v>9</v>
      </c>
      <c r="E83">
        <f>VLOOKUP(C83,wau!B:C,2,)</f>
        <v>213</v>
      </c>
      <c r="F83">
        <f>VLOOKUP(D83,mau!B:C,2,)</f>
        <v>378</v>
      </c>
      <c r="G83">
        <f t="shared" si="6"/>
        <v>0.33333333333333331</v>
      </c>
      <c r="H83">
        <f t="shared" si="7"/>
        <v>0.18783068783068782</v>
      </c>
    </row>
    <row r="84" spans="1:8" x14ac:dyDescent="0.2">
      <c r="A84" s="2">
        <v>44826</v>
      </c>
      <c r="B84" s="1">
        <v>67</v>
      </c>
      <c r="C84">
        <f t="shared" si="4"/>
        <v>38</v>
      </c>
      <c r="D84">
        <f t="shared" si="5"/>
        <v>9</v>
      </c>
      <c r="E84">
        <f>VLOOKUP(C84,wau!B:C,2,)</f>
        <v>213</v>
      </c>
      <c r="F84">
        <f>VLOOKUP(D84,mau!B:C,2,)</f>
        <v>378</v>
      </c>
      <c r="G84">
        <f t="shared" si="6"/>
        <v>0.31455399061032863</v>
      </c>
      <c r="H84">
        <f t="shared" si="7"/>
        <v>0.17724867724867724</v>
      </c>
    </row>
    <row r="85" spans="1:8" x14ac:dyDescent="0.2">
      <c r="A85" s="2">
        <v>44827</v>
      </c>
      <c r="B85" s="1">
        <v>55</v>
      </c>
      <c r="C85">
        <f t="shared" si="4"/>
        <v>38</v>
      </c>
      <c r="D85">
        <f t="shared" si="5"/>
        <v>9</v>
      </c>
      <c r="E85">
        <f>VLOOKUP(C85,wau!B:C,2,)</f>
        <v>213</v>
      </c>
      <c r="F85">
        <f>VLOOKUP(D85,mau!B:C,2,)</f>
        <v>378</v>
      </c>
      <c r="G85">
        <f t="shared" si="6"/>
        <v>0.25821596244131456</v>
      </c>
      <c r="H85">
        <f t="shared" si="7"/>
        <v>0.14550264550264549</v>
      </c>
    </row>
    <row r="86" spans="1:8" x14ac:dyDescent="0.2">
      <c r="A86" s="2">
        <v>44828</v>
      </c>
      <c r="B86" s="1">
        <v>58</v>
      </c>
      <c r="C86">
        <f t="shared" si="4"/>
        <v>38</v>
      </c>
      <c r="D86">
        <f t="shared" si="5"/>
        <v>9</v>
      </c>
      <c r="E86">
        <f>VLOOKUP(C86,wau!B:C,2,)</f>
        <v>213</v>
      </c>
      <c r="F86">
        <f>VLOOKUP(D86,mau!B:C,2,)</f>
        <v>378</v>
      </c>
      <c r="G86">
        <f t="shared" si="6"/>
        <v>0.27230046948356806</v>
      </c>
      <c r="H86">
        <f t="shared" si="7"/>
        <v>0.15343915343915343</v>
      </c>
    </row>
    <row r="87" spans="1:8" x14ac:dyDescent="0.2">
      <c r="A87" s="2">
        <v>44829</v>
      </c>
      <c r="B87" s="1">
        <v>73</v>
      </c>
      <c r="C87">
        <f t="shared" si="4"/>
        <v>38</v>
      </c>
      <c r="D87">
        <f t="shared" si="5"/>
        <v>9</v>
      </c>
      <c r="E87">
        <f>VLOOKUP(C87,wau!B:C,2,)</f>
        <v>213</v>
      </c>
      <c r="F87">
        <f>VLOOKUP(D87,mau!B:C,2,)</f>
        <v>378</v>
      </c>
      <c r="G87">
        <f t="shared" si="6"/>
        <v>0.34272300469483569</v>
      </c>
      <c r="H87">
        <f t="shared" si="7"/>
        <v>0.19312169312169311</v>
      </c>
    </row>
    <row r="88" spans="1:8" x14ac:dyDescent="0.2">
      <c r="A88" s="2">
        <v>44830</v>
      </c>
      <c r="B88" s="1">
        <v>58</v>
      </c>
      <c r="C88">
        <f t="shared" si="4"/>
        <v>39</v>
      </c>
      <c r="D88">
        <f t="shared" si="5"/>
        <v>9</v>
      </c>
      <c r="E88">
        <f>VLOOKUP(C88,wau!B:C,2,)</f>
        <v>208</v>
      </c>
      <c r="F88">
        <f>VLOOKUP(D88,mau!B:C,2,)</f>
        <v>378</v>
      </c>
      <c r="G88">
        <f t="shared" si="6"/>
        <v>0.27884615384615385</v>
      </c>
      <c r="H88">
        <f t="shared" si="7"/>
        <v>0.15343915343915343</v>
      </c>
    </row>
    <row r="89" spans="1:8" x14ac:dyDescent="0.2">
      <c r="A89" s="2">
        <v>44831</v>
      </c>
      <c r="B89" s="1">
        <v>76</v>
      </c>
      <c r="C89">
        <f t="shared" si="4"/>
        <v>39</v>
      </c>
      <c r="D89">
        <f t="shared" si="5"/>
        <v>9</v>
      </c>
      <c r="E89">
        <f>VLOOKUP(C89,wau!B:C,2,)</f>
        <v>208</v>
      </c>
      <c r="F89">
        <f>VLOOKUP(D89,mau!B:C,2,)</f>
        <v>378</v>
      </c>
      <c r="G89">
        <f t="shared" si="6"/>
        <v>0.36538461538461536</v>
      </c>
      <c r="H89">
        <f t="shared" si="7"/>
        <v>0.20105820105820105</v>
      </c>
    </row>
    <row r="90" spans="1:8" x14ac:dyDescent="0.2">
      <c r="A90" s="2">
        <v>44832</v>
      </c>
      <c r="B90" s="1">
        <v>62</v>
      </c>
      <c r="C90">
        <f t="shared" si="4"/>
        <v>39</v>
      </c>
      <c r="D90">
        <f t="shared" si="5"/>
        <v>9</v>
      </c>
      <c r="E90">
        <f>VLOOKUP(C90,wau!B:C,2,)</f>
        <v>208</v>
      </c>
      <c r="F90">
        <f>VLOOKUP(D90,mau!B:C,2,)</f>
        <v>378</v>
      </c>
      <c r="G90">
        <f t="shared" si="6"/>
        <v>0.29807692307692307</v>
      </c>
      <c r="H90">
        <f t="shared" si="7"/>
        <v>0.16402116402116401</v>
      </c>
    </row>
    <row r="91" spans="1:8" x14ac:dyDescent="0.2">
      <c r="A91" s="2">
        <v>44833</v>
      </c>
      <c r="B91" s="1">
        <v>66</v>
      </c>
      <c r="C91">
        <f t="shared" si="4"/>
        <v>39</v>
      </c>
      <c r="D91">
        <f t="shared" si="5"/>
        <v>9</v>
      </c>
      <c r="E91">
        <f>VLOOKUP(C91,wau!B:C,2,)</f>
        <v>208</v>
      </c>
      <c r="F91">
        <f>VLOOKUP(D91,mau!B:C,2,)</f>
        <v>378</v>
      </c>
      <c r="G91">
        <f t="shared" si="6"/>
        <v>0.31730769230769229</v>
      </c>
      <c r="H91">
        <f t="shared" si="7"/>
        <v>0.17460317460317459</v>
      </c>
    </row>
    <row r="92" spans="1:8" x14ac:dyDescent="0.2">
      <c r="A92" s="2">
        <v>44834</v>
      </c>
      <c r="B92" s="1">
        <v>59</v>
      </c>
      <c r="C92">
        <f t="shared" si="4"/>
        <v>39</v>
      </c>
      <c r="D92">
        <f t="shared" si="5"/>
        <v>9</v>
      </c>
      <c r="E92">
        <f>VLOOKUP(C92,wau!B:C,2,)</f>
        <v>208</v>
      </c>
      <c r="F92">
        <f>VLOOKUP(D92,mau!B:C,2,)</f>
        <v>378</v>
      </c>
      <c r="G92">
        <f t="shared" si="6"/>
        <v>0.28365384615384615</v>
      </c>
      <c r="H92">
        <f t="shared" si="7"/>
        <v>0.15608465608465608</v>
      </c>
    </row>
    <row r="93" spans="1:8" x14ac:dyDescent="0.2">
      <c r="A93" s="2">
        <v>44835</v>
      </c>
      <c r="B93" s="1">
        <v>61</v>
      </c>
      <c r="C93">
        <f t="shared" si="4"/>
        <v>39</v>
      </c>
      <c r="D93">
        <f t="shared" si="5"/>
        <v>10</v>
      </c>
      <c r="E93">
        <f>VLOOKUP(C93,wau!B:C,2,)</f>
        <v>208</v>
      </c>
      <c r="F93">
        <f>VLOOKUP(D93,mau!B:C,2,)</f>
        <v>393</v>
      </c>
      <c r="G93">
        <f t="shared" si="6"/>
        <v>0.29326923076923078</v>
      </c>
      <c r="H93">
        <f t="shared" si="7"/>
        <v>0.15521628498727735</v>
      </c>
    </row>
    <row r="94" spans="1:8" x14ac:dyDescent="0.2">
      <c r="A94" s="2">
        <v>44836</v>
      </c>
      <c r="B94" s="1">
        <v>52</v>
      </c>
      <c r="C94">
        <f t="shared" si="4"/>
        <v>39</v>
      </c>
      <c r="D94">
        <f t="shared" si="5"/>
        <v>10</v>
      </c>
      <c r="E94">
        <f>VLOOKUP(C94,wau!B:C,2,)</f>
        <v>208</v>
      </c>
      <c r="F94">
        <f>VLOOKUP(D94,mau!B:C,2,)</f>
        <v>393</v>
      </c>
      <c r="G94">
        <f t="shared" si="6"/>
        <v>0.25</v>
      </c>
      <c r="H94">
        <f t="shared" si="7"/>
        <v>0.13231552162849872</v>
      </c>
    </row>
    <row r="95" spans="1:8" x14ac:dyDescent="0.2">
      <c r="A95" s="2">
        <v>44837</v>
      </c>
      <c r="B95" s="1">
        <v>69</v>
      </c>
      <c r="C95">
        <f t="shared" si="4"/>
        <v>40</v>
      </c>
      <c r="D95">
        <f t="shared" si="5"/>
        <v>10</v>
      </c>
      <c r="E95">
        <f>VLOOKUP(C95,wau!B:C,2,)</f>
        <v>207</v>
      </c>
      <c r="F95">
        <f>VLOOKUP(D95,mau!B:C,2,)</f>
        <v>393</v>
      </c>
      <c r="G95">
        <f t="shared" si="6"/>
        <v>0.33333333333333331</v>
      </c>
      <c r="H95">
        <f t="shared" si="7"/>
        <v>0.17557251908396945</v>
      </c>
    </row>
    <row r="96" spans="1:8" x14ac:dyDescent="0.2">
      <c r="A96" s="2">
        <v>44838</v>
      </c>
      <c r="B96" s="1">
        <v>70</v>
      </c>
      <c r="C96">
        <f t="shared" si="4"/>
        <v>40</v>
      </c>
      <c r="D96">
        <f t="shared" si="5"/>
        <v>10</v>
      </c>
      <c r="E96">
        <f>VLOOKUP(C96,wau!B:C,2,)</f>
        <v>207</v>
      </c>
      <c r="F96">
        <f>VLOOKUP(D96,mau!B:C,2,)</f>
        <v>393</v>
      </c>
      <c r="G96">
        <f t="shared" si="6"/>
        <v>0.33816425120772947</v>
      </c>
      <c r="H96">
        <f t="shared" si="7"/>
        <v>0.17811704834605599</v>
      </c>
    </row>
    <row r="97" spans="1:8" x14ac:dyDescent="0.2">
      <c r="A97" s="2">
        <v>44839</v>
      </c>
      <c r="B97" s="1">
        <v>45</v>
      </c>
      <c r="C97">
        <f t="shared" si="4"/>
        <v>40</v>
      </c>
      <c r="D97">
        <f t="shared" si="5"/>
        <v>10</v>
      </c>
      <c r="E97">
        <f>VLOOKUP(C97,wau!B:C,2,)</f>
        <v>207</v>
      </c>
      <c r="F97">
        <f>VLOOKUP(D97,mau!B:C,2,)</f>
        <v>393</v>
      </c>
      <c r="G97">
        <f t="shared" si="6"/>
        <v>0.21739130434782608</v>
      </c>
      <c r="H97">
        <f t="shared" si="7"/>
        <v>0.11450381679389313</v>
      </c>
    </row>
    <row r="98" spans="1:8" x14ac:dyDescent="0.2">
      <c r="A98" s="2">
        <v>44840</v>
      </c>
      <c r="B98" s="1">
        <v>77</v>
      </c>
      <c r="C98">
        <f t="shared" si="4"/>
        <v>40</v>
      </c>
      <c r="D98">
        <f t="shared" si="5"/>
        <v>10</v>
      </c>
      <c r="E98">
        <f>VLOOKUP(C98,wau!B:C,2,)</f>
        <v>207</v>
      </c>
      <c r="F98">
        <f>VLOOKUP(D98,mau!B:C,2,)</f>
        <v>393</v>
      </c>
      <c r="G98">
        <f t="shared" si="6"/>
        <v>0.3719806763285024</v>
      </c>
      <c r="H98">
        <f t="shared" si="7"/>
        <v>0.19592875318066158</v>
      </c>
    </row>
    <row r="99" spans="1:8" x14ac:dyDescent="0.2">
      <c r="A99" s="2">
        <v>44841</v>
      </c>
      <c r="B99" s="1">
        <v>61</v>
      </c>
      <c r="C99">
        <f t="shared" si="4"/>
        <v>40</v>
      </c>
      <c r="D99">
        <f t="shared" si="5"/>
        <v>10</v>
      </c>
      <c r="E99">
        <f>VLOOKUP(C99,wau!B:C,2,)</f>
        <v>207</v>
      </c>
      <c r="F99">
        <f>VLOOKUP(D99,mau!B:C,2,)</f>
        <v>393</v>
      </c>
      <c r="G99">
        <f t="shared" si="6"/>
        <v>0.29468599033816423</v>
      </c>
      <c r="H99">
        <f t="shared" si="7"/>
        <v>0.15521628498727735</v>
      </c>
    </row>
    <row r="100" spans="1:8" x14ac:dyDescent="0.2">
      <c r="A100" s="2">
        <v>44842</v>
      </c>
      <c r="B100" s="1">
        <v>56</v>
      </c>
      <c r="C100">
        <f t="shared" si="4"/>
        <v>40</v>
      </c>
      <c r="D100">
        <f t="shared" si="5"/>
        <v>10</v>
      </c>
      <c r="E100">
        <f>VLOOKUP(C100,wau!B:C,2,)</f>
        <v>207</v>
      </c>
      <c r="F100">
        <f>VLOOKUP(D100,mau!B:C,2,)</f>
        <v>393</v>
      </c>
      <c r="G100">
        <f t="shared" si="6"/>
        <v>0.27053140096618356</v>
      </c>
      <c r="H100">
        <f t="shared" si="7"/>
        <v>0.14249363867684478</v>
      </c>
    </row>
    <row r="101" spans="1:8" x14ac:dyDescent="0.2">
      <c r="A101" s="2">
        <v>44843</v>
      </c>
      <c r="B101" s="1">
        <v>66</v>
      </c>
      <c r="C101">
        <f t="shared" si="4"/>
        <v>40</v>
      </c>
      <c r="D101">
        <f t="shared" si="5"/>
        <v>10</v>
      </c>
      <c r="E101">
        <f>VLOOKUP(C101,wau!B:C,2,)</f>
        <v>207</v>
      </c>
      <c r="F101">
        <f>VLOOKUP(D101,mau!B:C,2,)</f>
        <v>393</v>
      </c>
      <c r="G101">
        <f t="shared" si="6"/>
        <v>0.3188405797101449</v>
      </c>
      <c r="H101">
        <f t="shared" si="7"/>
        <v>0.16793893129770993</v>
      </c>
    </row>
    <row r="102" spans="1:8" x14ac:dyDescent="0.2">
      <c r="A102" s="2">
        <v>44844</v>
      </c>
      <c r="B102" s="1">
        <v>51</v>
      </c>
      <c r="C102">
        <f t="shared" si="4"/>
        <v>41</v>
      </c>
      <c r="D102">
        <f t="shared" si="5"/>
        <v>10</v>
      </c>
      <c r="E102">
        <f>VLOOKUP(C102,wau!B:C,2,)</f>
        <v>204</v>
      </c>
      <c r="F102">
        <f>VLOOKUP(D102,mau!B:C,2,)</f>
        <v>393</v>
      </c>
      <c r="G102">
        <f t="shared" si="6"/>
        <v>0.25</v>
      </c>
      <c r="H102">
        <f t="shared" si="7"/>
        <v>0.12977099236641221</v>
      </c>
    </row>
    <row r="103" spans="1:8" x14ac:dyDescent="0.2">
      <c r="A103" s="2">
        <v>44845</v>
      </c>
      <c r="B103" s="1">
        <v>59</v>
      </c>
      <c r="C103">
        <f t="shared" si="4"/>
        <v>41</v>
      </c>
      <c r="D103">
        <f t="shared" si="5"/>
        <v>10</v>
      </c>
      <c r="E103">
        <f>VLOOKUP(C103,wau!B:C,2,)</f>
        <v>204</v>
      </c>
      <c r="F103">
        <f>VLOOKUP(D103,mau!B:C,2,)</f>
        <v>393</v>
      </c>
      <c r="G103">
        <f t="shared" si="6"/>
        <v>0.28921568627450983</v>
      </c>
      <c r="H103">
        <f t="shared" si="7"/>
        <v>0.15012722646310434</v>
      </c>
    </row>
    <row r="104" spans="1:8" x14ac:dyDescent="0.2">
      <c r="A104" s="2">
        <v>44846</v>
      </c>
      <c r="B104" s="1">
        <v>65</v>
      </c>
      <c r="C104">
        <f t="shared" si="4"/>
        <v>41</v>
      </c>
      <c r="D104">
        <f t="shared" si="5"/>
        <v>10</v>
      </c>
      <c r="E104">
        <f>VLOOKUP(C104,wau!B:C,2,)</f>
        <v>204</v>
      </c>
      <c r="F104">
        <f>VLOOKUP(D104,mau!B:C,2,)</f>
        <v>393</v>
      </c>
      <c r="G104">
        <f t="shared" si="6"/>
        <v>0.31862745098039214</v>
      </c>
      <c r="H104">
        <f t="shared" si="7"/>
        <v>0.16539440203562342</v>
      </c>
    </row>
    <row r="105" spans="1:8" x14ac:dyDescent="0.2">
      <c r="A105" s="2">
        <v>44847</v>
      </c>
      <c r="B105" s="1">
        <v>53</v>
      </c>
      <c r="C105">
        <f t="shared" si="4"/>
        <v>41</v>
      </c>
      <c r="D105">
        <f t="shared" si="5"/>
        <v>10</v>
      </c>
      <c r="E105">
        <f>VLOOKUP(C105,wau!B:C,2,)</f>
        <v>204</v>
      </c>
      <c r="F105">
        <f>VLOOKUP(D105,mau!B:C,2,)</f>
        <v>393</v>
      </c>
      <c r="G105">
        <f t="shared" si="6"/>
        <v>0.25980392156862747</v>
      </c>
      <c r="H105">
        <f t="shared" si="7"/>
        <v>0.13486005089058525</v>
      </c>
    </row>
    <row r="106" spans="1:8" x14ac:dyDescent="0.2">
      <c r="A106" s="2">
        <v>44848</v>
      </c>
      <c r="B106" s="1">
        <v>72</v>
      </c>
      <c r="C106">
        <f t="shared" si="4"/>
        <v>41</v>
      </c>
      <c r="D106">
        <f t="shared" si="5"/>
        <v>10</v>
      </c>
      <c r="E106">
        <f>VLOOKUP(C106,wau!B:C,2,)</f>
        <v>204</v>
      </c>
      <c r="F106">
        <f>VLOOKUP(D106,mau!B:C,2,)</f>
        <v>393</v>
      </c>
      <c r="G106">
        <f t="shared" si="6"/>
        <v>0.35294117647058826</v>
      </c>
      <c r="H106">
        <f t="shared" si="7"/>
        <v>0.18320610687022901</v>
      </c>
    </row>
    <row r="107" spans="1:8" x14ac:dyDescent="0.2">
      <c r="A107" s="2">
        <v>44849</v>
      </c>
      <c r="B107" s="1">
        <v>62</v>
      </c>
      <c r="C107">
        <f t="shared" si="4"/>
        <v>41</v>
      </c>
      <c r="D107">
        <f t="shared" si="5"/>
        <v>10</v>
      </c>
      <c r="E107">
        <f>VLOOKUP(C107,wau!B:C,2,)</f>
        <v>204</v>
      </c>
      <c r="F107">
        <f>VLOOKUP(D107,mau!B:C,2,)</f>
        <v>393</v>
      </c>
      <c r="G107">
        <f t="shared" si="6"/>
        <v>0.30392156862745096</v>
      </c>
      <c r="H107">
        <f t="shared" si="7"/>
        <v>0.15776081424936386</v>
      </c>
    </row>
    <row r="108" spans="1:8" x14ac:dyDescent="0.2">
      <c r="A108" s="2">
        <v>44850</v>
      </c>
      <c r="B108" s="1">
        <v>62</v>
      </c>
      <c r="C108">
        <f t="shared" si="4"/>
        <v>41</v>
      </c>
      <c r="D108">
        <f t="shared" si="5"/>
        <v>10</v>
      </c>
      <c r="E108">
        <f>VLOOKUP(C108,wau!B:C,2,)</f>
        <v>204</v>
      </c>
      <c r="F108">
        <f>VLOOKUP(D108,mau!B:C,2,)</f>
        <v>393</v>
      </c>
      <c r="G108">
        <f t="shared" si="6"/>
        <v>0.30392156862745096</v>
      </c>
      <c r="H108">
        <f t="shared" si="7"/>
        <v>0.15776081424936386</v>
      </c>
    </row>
    <row r="109" spans="1:8" x14ac:dyDescent="0.2">
      <c r="A109" s="2">
        <v>44851</v>
      </c>
      <c r="B109" s="1">
        <v>70</v>
      </c>
      <c r="C109">
        <f t="shared" si="4"/>
        <v>42</v>
      </c>
      <c r="D109">
        <f t="shared" si="5"/>
        <v>10</v>
      </c>
      <c r="E109">
        <f>VLOOKUP(C109,wau!B:C,2,)</f>
        <v>201</v>
      </c>
      <c r="F109">
        <f>VLOOKUP(D109,mau!B:C,2,)</f>
        <v>393</v>
      </c>
      <c r="G109">
        <f t="shared" si="6"/>
        <v>0.34825870646766172</v>
      </c>
      <c r="H109">
        <f t="shared" si="7"/>
        <v>0.17811704834605599</v>
      </c>
    </row>
    <row r="110" spans="1:8" x14ac:dyDescent="0.2">
      <c r="A110" s="2">
        <v>44852</v>
      </c>
      <c r="B110" s="1">
        <v>62</v>
      </c>
      <c r="C110">
        <f t="shared" si="4"/>
        <v>42</v>
      </c>
      <c r="D110">
        <f t="shared" si="5"/>
        <v>10</v>
      </c>
      <c r="E110">
        <f>VLOOKUP(C110,wau!B:C,2,)</f>
        <v>201</v>
      </c>
      <c r="F110">
        <f>VLOOKUP(D110,mau!B:C,2,)</f>
        <v>393</v>
      </c>
      <c r="G110">
        <f t="shared" si="6"/>
        <v>0.30845771144278605</v>
      </c>
      <c r="H110">
        <f t="shared" si="7"/>
        <v>0.15776081424936386</v>
      </c>
    </row>
    <row r="111" spans="1:8" x14ac:dyDescent="0.2">
      <c r="A111" s="2">
        <v>44853</v>
      </c>
      <c r="B111" s="1">
        <v>82</v>
      </c>
      <c r="C111">
        <f t="shared" si="4"/>
        <v>42</v>
      </c>
      <c r="D111">
        <f t="shared" si="5"/>
        <v>10</v>
      </c>
      <c r="E111">
        <f>VLOOKUP(C111,wau!B:C,2,)</f>
        <v>201</v>
      </c>
      <c r="F111">
        <f>VLOOKUP(D111,mau!B:C,2,)</f>
        <v>393</v>
      </c>
      <c r="G111">
        <f t="shared" si="6"/>
        <v>0.4079601990049751</v>
      </c>
      <c r="H111">
        <f t="shared" si="7"/>
        <v>0.20865139949109415</v>
      </c>
    </row>
    <row r="112" spans="1:8" x14ac:dyDescent="0.2">
      <c r="A112" s="2">
        <v>44854</v>
      </c>
      <c r="B112" s="1">
        <v>52</v>
      </c>
      <c r="C112">
        <f t="shared" si="4"/>
        <v>42</v>
      </c>
      <c r="D112">
        <f t="shared" si="5"/>
        <v>10</v>
      </c>
      <c r="E112">
        <f>VLOOKUP(C112,wau!B:C,2,)</f>
        <v>201</v>
      </c>
      <c r="F112">
        <f>VLOOKUP(D112,mau!B:C,2,)</f>
        <v>393</v>
      </c>
      <c r="G112">
        <f t="shared" si="6"/>
        <v>0.25870646766169153</v>
      </c>
      <c r="H112">
        <f t="shared" si="7"/>
        <v>0.13231552162849872</v>
      </c>
    </row>
    <row r="113" spans="1:8" x14ac:dyDescent="0.2">
      <c r="A113" s="2">
        <v>44855</v>
      </c>
      <c r="B113" s="1">
        <v>65</v>
      </c>
      <c r="C113">
        <f t="shared" si="4"/>
        <v>42</v>
      </c>
      <c r="D113">
        <f t="shared" si="5"/>
        <v>10</v>
      </c>
      <c r="E113">
        <f>VLOOKUP(C113,wau!B:C,2,)</f>
        <v>201</v>
      </c>
      <c r="F113">
        <f>VLOOKUP(D113,mau!B:C,2,)</f>
        <v>393</v>
      </c>
      <c r="G113">
        <f t="shared" si="6"/>
        <v>0.32338308457711445</v>
      </c>
      <c r="H113">
        <f t="shared" si="7"/>
        <v>0.16539440203562342</v>
      </c>
    </row>
    <row r="114" spans="1:8" x14ac:dyDescent="0.2">
      <c r="A114" s="2">
        <v>44856</v>
      </c>
      <c r="B114" s="1">
        <v>64</v>
      </c>
      <c r="C114">
        <f t="shared" si="4"/>
        <v>42</v>
      </c>
      <c r="D114">
        <f t="shared" si="5"/>
        <v>10</v>
      </c>
      <c r="E114">
        <f>VLOOKUP(C114,wau!B:C,2,)</f>
        <v>201</v>
      </c>
      <c r="F114">
        <f>VLOOKUP(D114,mau!B:C,2,)</f>
        <v>393</v>
      </c>
      <c r="G114">
        <f t="shared" si="6"/>
        <v>0.31840796019900497</v>
      </c>
      <c r="H114">
        <f t="shared" si="7"/>
        <v>0.16284987277353691</v>
      </c>
    </row>
    <row r="115" spans="1:8" x14ac:dyDescent="0.2">
      <c r="A115" s="2">
        <v>44857</v>
      </c>
      <c r="B115" s="1">
        <v>57</v>
      </c>
      <c r="C115">
        <f t="shared" si="4"/>
        <v>42</v>
      </c>
      <c r="D115">
        <f t="shared" si="5"/>
        <v>10</v>
      </c>
      <c r="E115">
        <f>VLOOKUP(C115,wau!B:C,2,)</f>
        <v>201</v>
      </c>
      <c r="F115">
        <f>VLOOKUP(D115,mau!B:C,2,)</f>
        <v>393</v>
      </c>
      <c r="G115">
        <f t="shared" si="6"/>
        <v>0.28358208955223879</v>
      </c>
      <c r="H115">
        <f t="shared" si="7"/>
        <v>0.14503816793893129</v>
      </c>
    </row>
    <row r="116" spans="1:8" x14ac:dyDescent="0.2">
      <c r="A116" s="2">
        <v>44858</v>
      </c>
      <c r="B116" s="1">
        <v>58</v>
      </c>
      <c r="C116">
        <f t="shared" si="4"/>
        <v>43</v>
      </c>
      <c r="D116">
        <f t="shared" si="5"/>
        <v>10</v>
      </c>
      <c r="E116">
        <f>VLOOKUP(C116,wau!B:C,2,)</f>
        <v>213</v>
      </c>
      <c r="F116">
        <f>VLOOKUP(D116,mau!B:C,2,)</f>
        <v>393</v>
      </c>
      <c r="G116">
        <f t="shared" si="6"/>
        <v>0.27230046948356806</v>
      </c>
      <c r="H116">
        <f t="shared" si="7"/>
        <v>0.1475826972010178</v>
      </c>
    </row>
    <row r="117" spans="1:8" x14ac:dyDescent="0.2">
      <c r="A117" s="2">
        <v>44859</v>
      </c>
      <c r="B117" s="1">
        <v>66</v>
      </c>
      <c r="C117">
        <f t="shared" si="4"/>
        <v>43</v>
      </c>
      <c r="D117">
        <f t="shared" si="5"/>
        <v>10</v>
      </c>
      <c r="E117">
        <f>VLOOKUP(C117,wau!B:C,2,)</f>
        <v>213</v>
      </c>
      <c r="F117">
        <f>VLOOKUP(D117,mau!B:C,2,)</f>
        <v>393</v>
      </c>
      <c r="G117">
        <f t="shared" si="6"/>
        <v>0.30985915492957744</v>
      </c>
      <c r="H117">
        <f t="shared" si="7"/>
        <v>0.16793893129770993</v>
      </c>
    </row>
    <row r="118" spans="1:8" x14ac:dyDescent="0.2">
      <c r="A118" s="2">
        <v>44860</v>
      </c>
      <c r="B118" s="1">
        <v>60</v>
      </c>
      <c r="C118">
        <f t="shared" si="4"/>
        <v>43</v>
      </c>
      <c r="D118">
        <f t="shared" si="5"/>
        <v>10</v>
      </c>
      <c r="E118">
        <f>VLOOKUP(C118,wau!B:C,2,)</f>
        <v>213</v>
      </c>
      <c r="F118">
        <f>VLOOKUP(D118,mau!B:C,2,)</f>
        <v>393</v>
      </c>
      <c r="G118">
        <f t="shared" si="6"/>
        <v>0.28169014084507044</v>
      </c>
      <c r="H118">
        <f t="shared" si="7"/>
        <v>0.15267175572519084</v>
      </c>
    </row>
    <row r="119" spans="1:8" x14ac:dyDescent="0.2">
      <c r="A119" s="2">
        <v>44861</v>
      </c>
      <c r="B119" s="1">
        <v>55</v>
      </c>
      <c r="C119">
        <f t="shared" si="4"/>
        <v>43</v>
      </c>
      <c r="D119">
        <f t="shared" si="5"/>
        <v>10</v>
      </c>
      <c r="E119">
        <f>VLOOKUP(C119,wau!B:C,2,)</f>
        <v>213</v>
      </c>
      <c r="F119">
        <f>VLOOKUP(D119,mau!B:C,2,)</f>
        <v>393</v>
      </c>
      <c r="G119">
        <f t="shared" si="6"/>
        <v>0.25821596244131456</v>
      </c>
      <c r="H119">
        <f t="shared" si="7"/>
        <v>0.13994910941475827</v>
      </c>
    </row>
    <row r="120" spans="1:8" x14ac:dyDescent="0.2">
      <c r="A120" s="2">
        <v>44862</v>
      </c>
      <c r="B120" s="1">
        <v>65</v>
      </c>
      <c r="C120">
        <f t="shared" si="4"/>
        <v>43</v>
      </c>
      <c r="D120">
        <f t="shared" si="5"/>
        <v>10</v>
      </c>
      <c r="E120">
        <f>VLOOKUP(C120,wau!B:C,2,)</f>
        <v>213</v>
      </c>
      <c r="F120">
        <f>VLOOKUP(D120,mau!B:C,2,)</f>
        <v>393</v>
      </c>
      <c r="G120">
        <f t="shared" si="6"/>
        <v>0.30516431924882631</v>
      </c>
      <c r="H120">
        <f t="shared" si="7"/>
        <v>0.16539440203562342</v>
      </c>
    </row>
    <row r="121" spans="1:8" x14ac:dyDescent="0.2">
      <c r="A121" s="2">
        <v>44863</v>
      </c>
      <c r="B121" s="1">
        <v>54</v>
      </c>
      <c r="C121">
        <f t="shared" si="4"/>
        <v>43</v>
      </c>
      <c r="D121">
        <f t="shared" si="5"/>
        <v>10</v>
      </c>
      <c r="E121">
        <f>VLOOKUP(C121,wau!B:C,2,)</f>
        <v>213</v>
      </c>
      <c r="F121">
        <f>VLOOKUP(D121,mau!B:C,2,)</f>
        <v>393</v>
      </c>
      <c r="G121">
        <f t="shared" si="6"/>
        <v>0.25352112676056338</v>
      </c>
      <c r="H121">
        <f t="shared" si="7"/>
        <v>0.13740458015267176</v>
      </c>
    </row>
    <row r="122" spans="1:8" x14ac:dyDescent="0.2">
      <c r="A122" s="2">
        <v>44864</v>
      </c>
      <c r="B122" s="1">
        <v>66</v>
      </c>
      <c r="C122">
        <f t="shared" si="4"/>
        <v>43</v>
      </c>
      <c r="D122">
        <f t="shared" si="5"/>
        <v>10</v>
      </c>
      <c r="E122">
        <f>VLOOKUP(C122,wau!B:C,2,)</f>
        <v>213</v>
      </c>
      <c r="F122">
        <f>VLOOKUP(D122,mau!B:C,2,)</f>
        <v>393</v>
      </c>
      <c r="G122">
        <f t="shared" si="6"/>
        <v>0.30985915492957744</v>
      </c>
      <c r="H122">
        <f t="shared" si="7"/>
        <v>0.16793893129770993</v>
      </c>
    </row>
    <row r="123" spans="1:8" x14ac:dyDescent="0.2">
      <c r="A123" s="2">
        <v>44865</v>
      </c>
      <c r="B123" s="1">
        <v>72</v>
      </c>
      <c r="C123">
        <f t="shared" si="4"/>
        <v>44</v>
      </c>
      <c r="D123">
        <f t="shared" si="5"/>
        <v>10</v>
      </c>
      <c r="E123">
        <f>VLOOKUP(C123,wau!B:C,2,)</f>
        <v>214</v>
      </c>
      <c r="F123">
        <f>VLOOKUP(D123,mau!B:C,2,)</f>
        <v>393</v>
      </c>
      <c r="G123">
        <f t="shared" si="6"/>
        <v>0.3364485981308411</v>
      </c>
      <c r="H123">
        <f t="shared" si="7"/>
        <v>0.18320610687022901</v>
      </c>
    </row>
    <row r="124" spans="1:8" x14ac:dyDescent="0.2">
      <c r="A124" s="2">
        <v>44866</v>
      </c>
      <c r="B124" s="1">
        <v>58</v>
      </c>
      <c r="C124">
        <f t="shared" si="4"/>
        <v>44</v>
      </c>
      <c r="D124">
        <f t="shared" si="5"/>
        <v>11</v>
      </c>
      <c r="E124">
        <f>VLOOKUP(C124,wau!B:C,2,)</f>
        <v>214</v>
      </c>
      <c r="F124">
        <f>VLOOKUP(D124,mau!B:C,2,)</f>
        <v>426</v>
      </c>
      <c r="G124">
        <f t="shared" si="6"/>
        <v>0.27102803738317754</v>
      </c>
      <c r="H124">
        <f t="shared" si="7"/>
        <v>0.13615023474178403</v>
      </c>
    </row>
    <row r="125" spans="1:8" x14ac:dyDescent="0.2">
      <c r="A125" s="2">
        <v>44867</v>
      </c>
      <c r="B125" s="1">
        <v>55</v>
      </c>
      <c r="C125">
        <f t="shared" si="4"/>
        <v>44</v>
      </c>
      <c r="D125">
        <f t="shared" si="5"/>
        <v>11</v>
      </c>
      <c r="E125">
        <f>VLOOKUP(C125,wau!B:C,2,)</f>
        <v>214</v>
      </c>
      <c r="F125">
        <f>VLOOKUP(D125,mau!B:C,2,)</f>
        <v>426</v>
      </c>
      <c r="G125">
        <f t="shared" si="6"/>
        <v>0.2570093457943925</v>
      </c>
      <c r="H125">
        <f t="shared" si="7"/>
        <v>0.12910798122065728</v>
      </c>
    </row>
    <row r="126" spans="1:8" x14ac:dyDescent="0.2">
      <c r="A126" s="2">
        <v>44868</v>
      </c>
      <c r="B126" s="1">
        <v>56</v>
      </c>
      <c r="C126">
        <f t="shared" si="4"/>
        <v>44</v>
      </c>
      <c r="D126">
        <f t="shared" si="5"/>
        <v>11</v>
      </c>
      <c r="E126">
        <f>VLOOKUP(C126,wau!B:C,2,)</f>
        <v>214</v>
      </c>
      <c r="F126">
        <f>VLOOKUP(D126,mau!B:C,2,)</f>
        <v>426</v>
      </c>
      <c r="G126">
        <f t="shared" si="6"/>
        <v>0.26168224299065418</v>
      </c>
      <c r="H126">
        <f t="shared" si="7"/>
        <v>0.13145539906103287</v>
      </c>
    </row>
    <row r="127" spans="1:8" x14ac:dyDescent="0.2">
      <c r="A127" s="2">
        <v>44869</v>
      </c>
      <c r="B127" s="1">
        <v>63</v>
      </c>
      <c r="C127">
        <f t="shared" si="4"/>
        <v>44</v>
      </c>
      <c r="D127">
        <f t="shared" si="5"/>
        <v>11</v>
      </c>
      <c r="E127">
        <f>VLOOKUP(C127,wau!B:C,2,)</f>
        <v>214</v>
      </c>
      <c r="F127">
        <f>VLOOKUP(D127,mau!B:C,2,)</f>
        <v>426</v>
      </c>
      <c r="G127">
        <f t="shared" si="6"/>
        <v>0.29439252336448596</v>
      </c>
      <c r="H127">
        <f t="shared" si="7"/>
        <v>0.14788732394366197</v>
      </c>
    </row>
    <row r="128" spans="1:8" x14ac:dyDescent="0.2">
      <c r="A128" s="2">
        <v>44870</v>
      </c>
      <c r="B128" s="1">
        <v>69</v>
      </c>
      <c r="C128">
        <f t="shared" si="4"/>
        <v>44</v>
      </c>
      <c r="D128">
        <f t="shared" si="5"/>
        <v>11</v>
      </c>
      <c r="E128">
        <f>VLOOKUP(C128,wau!B:C,2,)</f>
        <v>214</v>
      </c>
      <c r="F128">
        <f>VLOOKUP(D128,mau!B:C,2,)</f>
        <v>426</v>
      </c>
      <c r="G128">
        <f t="shared" si="6"/>
        <v>0.32242990654205606</v>
      </c>
      <c r="H128">
        <f t="shared" si="7"/>
        <v>0.1619718309859155</v>
      </c>
    </row>
    <row r="129" spans="1:8" x14ac:dyDescent="0.2">
      <c r="A129" s="2">
        <v>44871</v>
      </c>
      <c r="B129" s="1">
        <v>62</v>
      </c>
      <c r="C129">
        <f t="shared" si="4"/>
        <v>44</v>
      </c>
      <c r="D129">
        <f t="shared" si="5"/>
        <v>11</v>
      </c>
      <c r="E129">
        <f>VLOOKUP(C129,wau!B:C,2,)</f>
        <v>214</v>
      </c>
      <c r="F129">
        <f>VLOOKUP(D129,mau!B:C,2,)</f>
        <v>426</v>
      </c>
      <c r="G129">
        <f t="shared" si="6"/>
        <v>0.28971962616822428</v>
      </c>
      <c r="H129">
        <f t="shared" si="7"/>
        <v>0.14553990610328638</v>
      </c>
    </row>
    <row r="130" spans="1:8" x14ac:dyDescent="0.2">
      <c r="A130" s="2">
        <v>44872</v>
      </c>
      <c r="B130" s="1">
        <v>60</v>
      </c>
      <c r="C130">
        <f t="shared" si="4"/>
        <v>45</v>
      </c>
      <c r="D130">
        <f t="shared" si="5"/>
        <v>11</v>
      </c>
      <c r="E130">
        <f>VLOOKUP(C130,wau!B:C,2,)</f>
        <v>203</v>
      </c>
      <c r="F130">
        <f>VLOOKUP(D130,mau!B:C,2,)</f>
        <v>426</v>
      </c>
      <c r="G130">
        <f t="shared" si="6"/>
        <v>0.29556650246305421</v>
      </c>
      <c r="H130">
        <f t="shared" si="7"/>
        <v>0.14084507042253522</v>
      </c>
    </row>
    <row r="131" spans="1:8" x14ac:dyDescent="0.2">
      <c r="A131" s="2">
        <v>44873</v>
      </c>
      <c r="B131" s="1">
        <v>60</v>
      </c>
      <c r="C131">
        <f t="shared" ref="C131:C194" si="8">_xlfn.ISOWEEKNUM(A131)</f>
        <v>45</v>
      </c>
      <c r="D131">
        <f t="shared" ref="D131:D194" si="9">MONTH(A131)</f>
        <v>11</v>
      </c>
      <c r="E131">
        <f>VLOOKUP(C131,wau!B:C,2,)</f>
        <v>203</v>
      </c>
      <c r="F131">
        <f>VLOOKUP(D131,mau!B:C,2,)</f>
        <v>426</v>
      </c>
      <c r="G131">
        <f t="shared" ref="G131:G194" si="10">B131/E131</f>
        <v>0.29556650246305421</v>
      </c>
      <c r="H131">
        <f t="shared" ref="H131:H194" si="11">B131/F131</f>
        <v>0.14084507042253522</v>
      </c>
    </row>
    <row r="132" spans="1:8" x14ac:dyDescent="0.2">
      <c r="A132" s="2">
        <v>44874</v>
      </c>
      <c r="B132" s="1">
        <v>60</v>
      </c>
      <c r="C132">
        <f t="shared" si="8"/>
        <v>45</v>
      </c>
      <c r="D132">
        <f t="shared" si="9"/>
        <v>11</v>
      </c>
      <c r="E132">
        <f>VLOOKUP(C132,wau!B:C,2,)</f>
        <v>203</v>
      </c>
      <c r="F132">
        <f>VLOOKUP(D132,mau!B:C,2,)</f>
        <v>426</v>
      </c>
      <c r="G132">
        <f t="shared" si="10"/>
        <v>0.29556650246305421</v>
      </c>
      <c r="H132">
        <f t="shared" si="11"/>
        <v>0.14084507042253522</v>
      </c>
    </row>
    <row r="133" spans="1:8" x14ac:dyDescent="0.2">
      <c r="A133" s="2">
        <v>44875</v>
      </c>
      <c r="B133" s="1">
        <v>55</v>
      </c>
      <c r="C133">
        <f t="shared" si="8"/>
        <v>45</v>
      </c>
      <c r="D133">
        <f t="shared" si="9"/>
        <v>11</v>
      </c>
      <c r="E133">
        <f>VLOOKUP(C133,wau!B:C,2,)</f>
        <v>203</v>
      </c>
      <c r="F133">
        <f>VLOOKUP(D133,mau!B:C,2,)</f>
        <v>426</v>
      </c>
      <c r="G133">
        <f t="shared" si="10"/>
        <v>0.27093596059113301</v>
      </c>
      <c r="H133">
        <f t="shared" si="11"/>
        <v>0.12910798122065728</v>
      </c>
    </row>
    <row r="134" spans="1:8" x14ac:dyDescent="0.2">
      <c r="A134" s="2">
        <v>44876</v>
      </c>
      <c r="B134" s="1">
        <v>62</v>
      </c>
      <c r="C134">
        <f t="shared" si="8"/>
        <v>45</v>
      </c>
      <c r="D134">
        <f t="shared" si="9"/>
        <v>11</v>
      </c>
      <c r="E134">
        <f>VLOOKUP(C134,wau!B:C,2,)</f>
        <v>203</v>
      </c>
      <c r="F134">
        <f>VLOOKUP(D134,mau!B:C,2,)</f>
        <v>426</v>
      </c>
      <c r="G134">
        <f t="shared" si="10"/>
        <v>0.30541871921182268</v>
      </c>
      <c r="H134">
        <f t="shared" si="11"/>
        <v>0.14553990610328638</v>
      </c>
    </row>
    <row r="135" spans="1:8" x14ac:dyDescent="0.2">
      <c r="A135" s="2">
        <v>44877</v>
      </c>
      <c r="B135" s="1">
        <v>53</v>
      </c>
      <c r="C135">
        <f t="shared" si="8"/>
        <v>45</v>
      </c>
      <c r="D135">
        <f t="shared" si="9"/>
        <v>11</v>
      </c>
      <c r="E135">
        <f>VLOOKUP(C135,wau!B:C,2,)</f>
        <v>203</v>
      </c>
      <c r="F135">
        <f>VLOOKUP(D135,mau!B:C,2,)</f>
        <v>426</v>
      </c>
      <c r="G135">
        <f t="shared" si="10"/>
        <v>0.26108374384236455</v>
      </c>
      <c r="H135">
        <f t="shared" si="11"/>
        <v>0.12441314553990611</v>
      </c>
    </row>
    <row r="136" spans="1:8" x14ac:dyDescent="0.2">
      <c r="A136" s="2">
        <v>44878</v>
      </c>
      <c r="B136" s="1">
        <v>54</v>
      </c>
      <c r="C136">
        <f t="shared" si="8"/>
        <v>45</v>
      </c>
      <c r="D136">
        <f t="shared" si="9"/>
        <v>11</v>
      </c>
      <c r="E136">
        <f>VLOOKUP(C136,wau!B:C,2,)</f>
        <v>203</v>
      </c>
      <c r="F136">
        <f>VLOOKUP(D136,mau!B:C,2,)</f>
        <v>426</v>
      </c>
      <c r="G136">
        <f t="shared" si="10"/>
        <v>0.26600985221674878</v>
      </c>
      <c r="H136">
        <f t="shared" si="11"/>
        <v>0.12676056338028169</v>
      </c>
    </row>
    <row r="137" spans="1:8" x14ac:dyDescent="0.2">
      <c r="A137" s="2">
        <v>44879</v>
      </c>
      <c r="B137" s="1">
        <v>46</v>
      </c>
      <c r="C137">
        <f t="shared" si="8"/>
        <v>46</v>
      </c>
      <c r="D137">
        <f t="shared" si="9"/>
        <v>11</v>
      </c>
      <c r="E137">
        <f>VLOOKUP(C137,wau!B:C,2,)</f>
        <v>202</v>
      </c>
      <c r="F137">
        <f>VLOOKUP(D137,mau!B:C,2,)</f>
        <v>426</v>
      </c>
      <c r="G137">
        <f t="shared" si="10"/>
        <v>0.22772277227722773</v>
      </c>
      <c r="H137">
        <f t="shared" si="11"/>
        <v>0.107981220657277</v>
      </c>
    </row>
    <row r="138" spans="1:8" x14ac:dyDescent="0.2">
      <c r="A138" s="2">
        <v>44880</v>
      </c>
      <c r="B138" s="1">
        <v>55</v>
      </c>
      <c r="C138">
        <f t="shared" si="8"/>
        <v>46</v>
      </c>
      <c r="D138">
        <f t="shared" si="9"/>
        <v>11</v>
      </c>
      <c r="E138">
        <f>VLOOKUP(C138,wau!B:C,2,)</f>
        <v>202</v>
      </c>
      <c r="F138">
        <f>VLOOKUP(D138,mau!B:C,2,)</f>
        <v>426</v>
      </c>
      <c r="G138">
        <f t="shared" si="10"/>
        <v>0.2722772277227723</v>
      </c>
      <c r="H138">
        <f t="shared" si="11"/>
        <v>0.12910798122065728</v>
      </c>
    </row>
    <row r="139" spans="1:8" x14ac:dyDescent="0.2">
      <c r="A139" s="2">
        <v>44881</v>
      </c>
      <c r="B139" s="1">
        <v>51</v>
      </c>
      <c r="C139">
        <f t="shared" si="8"/>
        <v>46</v>
      </c>
      <c r="D139">
        <f t="shared" si="9"/>
        <v>11</v>
      </c>
      <c r="E139">
        <f>VLOOKUP(C139,wau!B:C,2,)</f>
        <v>202</v>
      </c>
      <c r="F139">
        <f>VLOOKUP(D139,mau!B:C,2,)</f>
        <v>426</v>
      </c>
      <c r="G139">
        <f t="shared" si="10"/>
        <v>0.25247524752475248</v>
      </c>
      <c r="H139">
        <f t="shared" si="11"/>
        <v>0.11971830985915492</v>
      </c>
    </row>
    <row r="140" spans="1:8" x14ac:dyDescent="0.2">
      <c r="A140" s="2">
        <v>44882</v>
      </c>
      <c r="B140" s="1">
        <v>58</v>
      </c>
      <c r="C140">
        <f t="shared" si="8"/>
        <v>46</v>
      </c>
      <c r="D140">
        <f t="shared" si="9"/>
        <v>11</v>
      </c>
      <c r="E140">
        <f>VLOOKUP(C140,wau!B:C,2,)</f>
        <v>202</v>
      </c>
      <c r="F140">
        <f>VLOOKUP(D140,mau!B:C,2,)</f>
        <v>426</v>
      </c>
      <c r="G140">
        <f t="shared" si="10"/>
        <v>0.28712871287128711</v>
      </c>
      <c r="H140">
        <f t="shared" si="11"/>
        <v>0.13615023474178403</v>
      </c>
    </row>
    <row r="141" spans="1:8" x14ac:dyDescent="0.2">
      <c r="A141" s="2">
        <v>44883</v>
      </c>
      <c r="B141" s="1">
        <v>51</v>
      </c>
      <c r="C141">
        <f t="shared" si="8"/>
        <v>46</v>
      </c>
      <c r="D141">
        <f t="shared" si="9"/>
        <v>11</v>
      </c>
      <c r="E141">
        <f>VLOOKUP(C141,wau!B:C,2,)</f>
        <v>202</v>
      </c>
      <c r="F141">
        <f>VLOOKUP(D141,mau!B:C,2,)</f>
        <v>426</v>
      </c>
      <c r="G141">
        <f t="shared" si="10"/>
        <v>0.25247524752475248</v>
      </c>
      <c r="H141">
        <f t="shared" si="11"/>
        <v>0.11971830985915492</v>
      </c>
    </row>
    <row r="142" spans="1:8" x14ac:dyDescent="0.2">
      <c r="A142" s="2">
        <v>44884</v>
      </c>
      <c r="B142" s="1">
        <v>40</v>
      </c>
      <c r="C142">
        <f t="shared" si="8"/>
        <v>46</v>
      </c>
      <c r="D142">
        <f t="shared" si="9"/>
        <v>11</v>
      </c>
      <c r="E142">
        <f>VLOOKUP(C142,wau!B:C,2,)</f>
        <v>202</v>
      </c>
      <c r="F142">
        <f>VLOOKUP(D142,mau!B:C,2,)</f>
        <v>426</v>
      </c>
      <c r="G142">
        <f t="shared" si="10"/>
        <v>0.19801980198019803</v>
      </c>
      <c r="H142">
        <f t="shared" si="11"/>
        <v>9.3896713615023469E-2</v>
      </c>
    </row>
    <row r="143" spans="1:8" x14ac:dyDescent="0.2">
      <c r="A143" s="2">
        <v>44885</v>
      </c>
      <c r="B143" s="1">
        <v>50</v>
      </c>
      <c r="C143">
        <f t="shared" si="8"/>
        <v>46</v>
      </c>
      <c r="D143">
        <f t="shared" si="9"/>
        <v>11</v>
      </c>
      <c r="E143">
        <f>VLOOKUP(C143,wau!B:C,2,)</f>
        <v>202</v>
      </c>
      <c r="F143">
        <f>VLOOKUP(D143,mau!B:C,2,)</f>
        <v>426</v>
      </c>
      <c r="G143">
        <f t="shared" si="10"/>
        <v>0.24752475247524752</v>
      </c>
      <c r="H143">
        <f t="shared" si="11"/>
        <v>0.11737089201877934</v>
      </c>
    </row>
    <row r="144" spans="1:8" x14ac:dyDescent="0.2">
      <c r="A144" s="2">
        <v>44886</v>
      </c>
      <c r="B144" s="1">
        <v>34</v>
      </c>
      <c r="C144">
        <f t="shared" si="8"/>
        <v>47</v>
      </c>
      <c r="D144">
        <f t="shared" si="9"/>
        <v>11</v>
      </c>
      <c r="E144">
        <f>VLOOKUP(C144,wau!B:C,2,)</f>
        <v>167</v>
      </c>
      <c r="F144">
        <f>VLOOKUP(D144,mau!B:C,2,)</f>
        <v>426</v>
      </c>
      <c r="G144">
        <f t="shared" si="10"/>
        <v>0.20359281437125748</v>
      </c>
      <c r="H144">
        <f t="shared" si="11"/>
        <v>7.9812206572769953E-2</v>
      </c>
    </row>
    <row r="145" spans="1:8" x14ac:dyDescent="0.2">
      <c r="A145" s="2">
        <v>44887</v>
      </c>
      <c r="B145" s="1">
        <v>41</v>
      </c>
      <c r="C145">
        <f t="shared" si="8"/>
        <v>47</v>
      </c>
      <c r="D145">
        <f t="shared" si="9"/>
        <v>11</v>
      </c>
      <c r="E145">
        <f>VLOOKUP(C145,wau!B:C,2,)</f>
        <v>167</v>
      </c>
      <c r="F145">
        <f>VLOOKUP(D145,mau!B:C,2,)</f>
        <v>426</v>
      </c>
      <c r="G145">
        <f t="shared" si="10"/>
        <v>0.24550898203592814</v>
      </c>
      <c r="H145">
        <f t="shared" si="11"/>
        <v>9.6244131455399062E-2</v>
      </c>
    </row>
    <row r="146" spans="1:8" x14ac:dyDescent="0.2">
      <c r="A146" s="2">
        <v>44888</v>
      </c>
      <c r="B146" s="1">
        <v>39</v>
      </c>
      <c r="C146">
        <f t="shared" si="8"/>
        <v>47</v>
      </c>
      <c r="D146">
        <f t="shared" si="9"/>
        <v>11</v>
      </c>
      <c r="E146">
        <f>VLOOKUP(C146,wau!B:C,2,)</f>
        <v>167</v>
      </c>
      <c r="F146">
        <f>VLOOKUP(D146,mau!B:C,2,)</f>
        <v>426</v>
      </c>
      <c r="G146">
        <f t="shared" si="10"/>
        <v>0.23353293413173654</v>
      </c>
      <c r="H146">
        <f t="shared" si="11"/>
        <v>9.154929577464789E-2</v>
      </c>
    </row>
    <row r="147" spans="1:8" x14ac:dyDescent="0.2">
      <c r="A147" s="2">
        <v>44889</v>
      </c>
      <c r="B147" s="1">
        <v>32</v>
      </c>
      <c r="C147">
        <f t="shared" si="8"/>
        <v>47</v>
      </c>
      <c r="D147">
        <f t="shared" si="9"/>
        <v>11</v>
      </c>
      <c r="E147">
        <f>VLOOKUP(C147,wau!B:C,2,)</f>
        <v>167</v>
      </c>
      <c r="F147">
        <f>VLOOKUP(D147,mau!B:C,2,)</f>
        <v>426</v>
      </c>
      <c r="G147">
        <f t="shared" si="10"/>
        <v>0.19161676646706588</v>
      </c>
      <c r="H147">
        <f t="shared" si="11"/>
        <v>7.5117370892018781E-2</v>
      </c>
    </row>
    <row r="148" spans="1:8" x14ac:dyDescent="0.2">
      <c r="A148" s="2">
        <v>44890</v>
      </c>
      <c r="B148" s="1">
        <v>32</v>
      </c>
      <c r="C148">
        <f t="shared" si="8"/>
        <v>47</v>
      </c>
      <c r="D148">
        <f t="shared" si="9"/>
        <v>11</v>
      </c>
      <c r="E148">
        <f>VLOOKUP(C148,wau!B:C,2,)</f>
        <v>167</v>
      </c>
      <c r="F148">
        <f>VLOOKUP(D148,mau!B:C,2,)</f>
        <v>426</v>
      </c>
      <c r="G148">
        <f t="shared" si="10"/>
        <v>0.19161676646706588</v>
      </c>
      <c r="H148">
        <f t="shared" si="11"/>
        <v>7.5117370892018781E-2</v>
      </c>
    </row>
    <row r="149" spans="1:8" x14ac:dyDescent="0.2">
      <c r="A149" s="2">
        <v>44891</v>
      </c>
      <c r="B149" s="1">
        <v>31</v>
      </c>
      <c r="C149">
        <f t="shared" si="8"/>
        <v>47</v>
      </c>
      <c r="D149">
        <f t="shared" si="9"/>
        <v>11</v>
      </c>
      <c r="E149">
        <f>VLOOKUP(C149,wau!B:C,2,)</f>
        <v>167</v>
      </c>
      <c r="F149">
        <f>VLOOKUP(D149,mau!B:C,2,)</f>
        <v>426</v>
      </c>
      <c r="G149">
        <f t="shared" si="10"/>
        <v>0.18562874251497005</v>
      </c>
      <c r="H149">
        <f t="shared" si="11"/>
        <v>7.2769953051643188E-2</v>
      </c>
    </row>
    <row r="150" spans="1:8" x14ac:dyDescent="0.2">
      <c r="A150" s="2">
        <v>44892</v>
      </c>
      <c r="B150" s="1">
        <v>35</v>
      </c>
      <c r="C150">
        <f t="shared" si="8"/>
        <v>47</v>
      </c>
      <c r="D150">
        <f t="shared" si="9"/>
        <v>11</v>
      </c>
      <c r="E150">
        <f>VLOOKUP(C150,wau!B:C,2,)</f>
        <v>167</v>
      </c>
      <c r="F150">
        <f>VLOOKUP(D150,mau!B:C,2,)</f>
        <v>426</v>
      </c>
      <c r="G150">
        <f t="shared" si="10"/>
        <v>0.20958083832335328</v>
      </c>
      <c r="H150">
        <f t="shared" si="11"/>
        <v>8.2159624413145546E-2</v>
      </c>
    </row>
    <row r="151" spans="1:8" x14ac:dyDescent="0.2">
      <c r="A151" s="2">
        <v>44893</v>
      </c>
      <c r="B151" s="1">
        <v>32</v>
      </c>
      <c r="C151">
        <f t="shared" si="8"/>
        <v>48</v>
      </c>
      <c r="D151">
        <f t="shared" si="9"/>
        <v>11</v>
      </c>
      <c r="E151">
        <f>VLOOKUP(C151,wau!B:C,2,)</f>
        <v>157</v>
      </c>
      <c r="F151">
        <f>VLOOKUP(D151,mau!B:C,2,)</f>
        <v>426</v>
      </c>
      <c r="G151">
        <f t="shared" si="10"/>
        <v>0.20382165605095542</v>
      </c>
      <c r="H151">
        <f t="shared" si="11"/>
        <v>7.5117370892018781E-2</v>
      </c>
    </row>
    <row r="152" spans="1:8" x14ac:dyDescent="0.2">
      <c r="A152" s="2">
        <v>44894</v>
      </c>
      <c r="B152" s="1">
        <v>23</v>
      </c>
      <c r="C152">
        <f t="shared" si="8"/>
        <v>48</v>
      </c>
      <c r="D152">
        <f t="shared" si="9"/>
        <v>11</v>
      </c>
      <c r="E152">
        <f>VLOOKUP(C152,wau!B:C,2,)</f>
        <v>157</v>
      </c>
      <c r="F152">
        <f>VLOOKUP(D152,mau!B:C,2,)</f>
        <v>426</v>
      </c>
      <c r="G152">
        <f t="shared" si="10"/>
        <v>0.1464968152866242</v>
      </c>
      <c r="H152">
        <f t="shared" si="11"/>
        <v>5.39906103286385E-2</v>
      </c>
    </row>
    <row r="153" spans="1:8" x14ac:dyDescent="0.2">
      <c r="A153" s="2">
        <v>44895</v>
      </c>
      <c r="B153" s="1">
        <v>35</v>
      </c>
      <c r="C153">
        <f t="shared" si="8"/>
        <v>48</v>
      </c>
      <c r="D153">
        <f t="shared" si="9"/>
        <v>11</v>
      </c>
      <c r="E153">
        <f>VLOOKUP(C153,wau!B:C,2,)</f>
        <v>157</v>
      </c>
      <c r="F153">
        <f>VLOOKUP(D153,mau!B:C,2,)</f>
        <v>426</v>
      </c>
      <c r="G153">
        <f t="shared" si="10"/>
        <v>0.22292993630573249</v>
      </c>
      <c r="H153">
        <f t="shared" si="11"/>
        <v>8.2159624413145546E-2</v>
      </c>
    </row>
    <row r="154" spans="1:8" x14ac:dyDescent="0.2">
      <c r="A154" s="2">
        <v>44896</v>
      </c>
      <c r="B154" s="1">
        <v>32</v>
      </c>
      <c r="C154">
        <f t="shared" si="8"/>
        <v>48</v>
      </c>
      <c r="D154">
        <f t="shared" si="9"/>
        <v>12</v>
      </c>
      <c r="E154">
        <f>VLOOKUP(C154,wau!B:C,2,)</f>
        <v>157</v>
      </c>
      <c r="F154">
        <f>VLOOKUP(D154,mau!B:C,2,)</f>
        <v>390</v>
      </c>
      <c r="G154">
        <f t="shared" si="10"/>
        <v>0.20382165605095542</v>
      </c>
      <c r="H154">
        <f t="shared" si="11"/>
        <v>8.2051282051282051E-2</v>
      </c>
    </row>
    <row r="155" spans="1:8" x14ac:dyDescent="0.2">
      <c r="A155" s="2">
        <v>44897</v>
      </c>
      <c r="B155" s="1">
        <v>25</v>
      </c>
      <c r="C155">
        <f t="shared" si="8"/>
        <v>48</v>
      </c>
      <c r="D155">
        <f t="shared" si="9"/>
        <v>12</v>
      </c>
      <c r="E155">
        <f>VLOOKUP(C155,wau!B:C,2,)</f>
        <v>157</v>
      </c>
      <c r="F155">
        <f>VLOOKUP(D155,mau!B:C,2,)</f>
        <v>390</v>
      </c>
      <c r="G155">
        <f t="shared" si="10"/>
        <v>0.15923566878980891</v>
      </c>
      <c r="H155">
        <f t="shared" si="11"/>
        <v>6.4102564102564097E-2</v>
      </c>
    </row>
    <row r="156" spans="1:8" x14ac:dyDescent="0.2">
      <c r="A156" s="2">
        <v>44898</v>
      </c>
      <c r="B156" s="1">
        <v>19</v>
      </c>
      <c r="C156">
        <f t="shared" si="8"/>
        <v>48</v>
      </c>
      <c r="D156">
        <f t="shared" si="9"/>
        <v>12</v>
      </c>
      <c r="E156">
        <f>VLOOKUP(C156,wau!B:C,2,)</f>
        <v>157</v>
      </c>
      <c r="F156">
        <f>VLOOKUP(D156,mau!B:C,2,)</f>
        <v>390</v>
      </c>
      <c r="G156">
        <f t="shared" si="10"/>
        <v>0.12101910828025478</v>
      </c>
      <c r="H156">
        <f t="shared" si="11"/>
        <v>4.8717948717948718E-2</v>
      </c>
    </row>
    <row r="157" spans="1:8" x14ac:dyDescent="0.2">
      <c r="A157" s="2">
        <v>44899</v>
      </c>
      <c r="B157" s="1">
        <v>30</v>
      </c>
      <c r="C157">
        <f t="shared" si="8"/>
        <v>48</v>
      </c>
      <c r="D157">
        <f t="shared" si="9"/>
        <v>12</v>
      </c>
      <c r="E157">
        <f>VLOOKUP(C157,wau!B:C,2,)</f>
        <v>157</v>
      </c>
      <c r="F157">
        <f>VLOOKUP(D157,mau!B:C,2,)</f>
        <v>390</v>
      </c>
      <c r="G157">
        <f t="shared" si="10"/>
        <v>0.19108280254777071</v>
      </c>
      <c r="H157">
        <f t="shared" si="11"/>
        <v>7.6923076923076927E-2</v>
      </c>
    </row>
    <row r="158" spans="1:8" x14ac:dyDescent="0.2">
      <c r="A158" s="2">
        <v>44900</v>
      </c>
      <c r="B158" s="1">
        <v>23</v>
      </c>
      <c r="C158">
        <f t="shared" si="8"/>
        <v>49</v>
      </c>
      <c r="D158">
        <f t="shared" si="9"/>
        <v>12</v>
      </c>
      <c r="E158">
        <f>VLOOKUP(C158,wau!B:C,2,)</f>
        <v>156</v>
      </c>
      <c r="F158">
        <f>VLOOKUP(D158,mau!B:C,2,)</f>
        <v>390</v>
      </c>
      <c r="G158">
        <f t="shared" si="10"/>
        <v>0.14743589743589744</v>
      </c>
      <c r="H158">
        <f t="shared" si="11"/>
        <v>5.8974358974358973E-2</v>
      </c>
    </row>
    <row r="159" spans="1:8" x14ac:dyDescent="0.2">
      <c r="A159" s="2">
        <v>44901</v>
      </c>
      <c r="B159" s="1">
        <v>32</v>
      </c>
      <c r="C159">
        <f t="shared" si="8"/>
        <v>49</v>
      </c>
      <c r="D159">
        <f t="shared" si="9"/>
        <v>12</v>
      </c>
      <c r="E159">
        <f>VLOOKUP(C159,wau!B:C,2,)</f>
        <v>156</v>
      </c>
      <c r="F159">
        <f>VLOOKUP(D159,mau!B:C,2,)</f>
        <v>390</v>
      </c>
      <c r="G159">
        <f t="shared" si="10"/>
        <v>0.20512820512820512</v>
      </c>
      <c r="H159">
        <f t="shared" si="11"/>
        <v>8.2051282051282051E-2</v>
      </c>
    </row>
    <row r="160" spans="1:8" x14ac:dyDescent="0.2">
      <c r="A160" s="2">
        <v>44902</v>
      </c>
      <c r="B160" s="1">
        <v>35</v>
      </c>
      <c r="C160">
        <f t="shared" si="8"/>
        <v>49</v>
      </c>
      <c r="D160">
        <f t="shared" si="9"/>
        <v>12</v>
      </c>
      <c r="E160">
        <f>VLOOKUP(C160,wau!B:C,2,)</f>
        <v>156</v>
      </c>
      <c r="F160">
        <f>VLOOKUP(D160,mau!B:C,2,)</f>
        <v>390</v>
      </c>
      <c r="G160">
        <f t="shared" si="10"/>
        <v>0.22435897435897437</v>
      </c>
      <c r="H160">
        <f t="shared" si="11"/>
        <v>8.9743589743589744E-2</v>
      </c>
    </row>
    <row r="161" spans="1:8" x14ac:dyDescent="0.2">
      <c r="A161" s="2">
        <v>44903</v>
      </c>
      <c r="B161" s="1">
        <v>29</v>
      </c>
      <c r="C161">
        <f t="shared" si="8"/>
        <v>49</v>
      </c>
      <c r="D161">
        <f t="shared" si="9"/>
        <v>12</v>
      </c>
      <c r="E161">
        <f>VLOOKUP(C161,wau!B:C,2,)</f>
        <v>156</v>
      </c>
      <c r="F161">
        <f>VLOOKUP(D161,mau!B:C,2,)</f>
        <v>390</v>
      </c>
      <c r="G161">
        <f t="shared" si="10"/>
        <v>0.1858974358974359</v>
      </c>
      <c r="H161">
        <f t="shared" si="11"/>
        <v>7.4358974358974358E-2</v>
      </c>
    </row>
    <row r="162" spans="1:8" x14ac:dyDescent="0.2">
      <c r="A162" s="2">
        <v>44904</v>
      </c>
      <c r="B162" s="1">
        <v>36</v>
      </c>
      <c r="C162">
        <f t="shared" si="8"/>
        <v>49</v>
      </c>
      <c r="D162">
        <f t="shared" si="9"/>
        <v>12</v>
      </c>
      <c r="E162">
        <f>VLOOKUP(C162,wau!B:C,2,)</f>
        <v>156</v>
      </c>
      <c r="F162">
        <f>VLOOKUP(D162,mau!B:C,2,)</f>
        <v>390</v>
      </c>
      <c r="G162">
        <f t="shared" si="10"/>
        <v>0.23076923076923078</v>
      </c>
      <c r="H162">
        <f t="shared" si="11"/>
        <v>9.2307692307692313E-2</v>
      </c>
    </row>
    <row r="163" spans="1:8" x14ac:dyDescent="0.2">
      <c r="A163" s="2">
        <v>44905</v>
      </c>
      <c r="B163" s="1">
        <v>30</v>
      </c>
      <c r="C163">
        <f t="shared" si="8"/>
        <v>49</v>
      </c>
      <c r="D163">
        <f t="shared" si="9"/>
        <v>12</v>
      </c>
      <c r="E163">
        <f>VLOOKUP(C163,wau!B:C,2,)</f>
        <v>156</v>
      </c>
      <c r="F163">
        <f>VLOOKUP(D163,mau!B:C,2,)</f>
        <v>390</v>
      </c>
      <c r="G163">
        <f t="shared" si="10"/>
        <v>0.19230769230769232</v>
      </c>
      <c r="H163">
        <f t="shared" si="11"/>
        <v>7.6923076923076927E-2</v>
      </c>
    </row>
    <row r="164" spans="1:8" x14ac:dyDescent="0.2">
      <c r="A164" s="2">
        <v>44906</v>
      </c>
      <c r="B164" s="1">
        <v>25</v>
      </c>
      <c r="C164">
        <f t="shared" si="8"/>
        <v>49</v>
      </c>
      <c r="D164">
        <f t="shared" si="9"/>
        <v>12</v>
      </c>
      <c r="E164">
        <f>VLOOKUP(C164,wau!B:C,2,)</f>
        <v>156</v>
      </c>
      <c r="F164">
        <f>VLOOKUP(D164,mau!B:C,2,)</f>
        <v>390</v>
      </c>
      <c r="G164">
        <f t="shared" si="10"/>
        <v>0.16025641025641027</v>
      </c>
      <c r="H164">
        <f t="shared" si="11"/>
        <v>6.4102564102564097E-2</v>
      </c>
    </row>
    <row r="165" spans="1:8" x14ac:dyDescent="0.2">
      <c r="A165" s="2">
        <v>44907</v>
      </c>
      <c r="B165" s="1">
        <v>31</v>
      </c>
      <c r="C165">
        <f t="shared" si="8"/>
        <v>50</v>
      </c>
      <c r="D165">
        <f t="shared" si="9"/>
        <v>12</v>
      </c>
      <c r="E165">
        <f>VLOOKUP(C165,wau!B:C,2,)</f>
        <v>153</v>
      </c>
      <c r="F165">
        <f>VLOOKUP(D165,mau!B:C,2,)</f>
        <v>390</v>
      </c>
      <c r="G165">
        <f t="shared" si="10"/>
        <v>0.20261437908496732</v>
      </c>
      <c r="H165">
        <f t="shared" si="11"/>
        <v>7.9487179487179482E-2</v>
      </c>
    </row>
    <row r="166" spans="1:8" x14ac:dyDescent="0.2">
      <c r="A166" s="2">
        <v>44908</v>
      </c>
      <c r="B166" s="1">
        <v>34</v>
      </c>
      <c r="C166">
        <f t="shared" si="8"/>
        <v>50</v>
      </c>
      <c r="D166">
        <f t="shared" si="9"/>
        <v>12</v>
      </c>
      <c r="E166">
        <f>VLOOKUP(C166,wau!B:C,2,)</f>
        <v>153</v>
      </c>
      <c r="F166">
        <f>VLOOKUP(D166,mau!B:C,2,)</f>
        <v>390</v>
      </c>
      <c r="G166">
        <f t="shared" si="10"/>
        <v>0.22222222222222221</v>
      </c>
      <c r="H166">
        <f t="shared" si="11"/>
        <v>8.7179487179487175E-2</v>
      </c>
    </row>
    <row r="167" spans="1:8" x14ac:dyDescent="0.2">
      <c r="A167" s="2">
        <v>44909</v>
      </c>
      <c r="B167" s="1">
        <v>22</v>
      </c>
      <c r="C167">
        <f t="shared" si="8"/>
        <v>50</v>
      </c>
      <c r="D167">
        <f t="shared" si="9"/>
        <v>12</v>
      </c>
      <c r="E167">
        <f>VLOOKUP(C167,wau!B:C,2,)</f>
        <v>153</v>
      </c>
      <c r="F167">
        <f>VLOOKUP(D167,mau!B:C,2,)</f>
        <v>390</v>
      </c>
      <c r="G167">
        <f t="shared" si="10"/>
        <v>0.1437908496732026</v>
      </c>
      <c r="H167">
        <f t="shared" si="11"/>
        <v>5.6410256410256411E-2</v>
      </c>
    </row>
    <row r="168" spans="1:8" x14ac:dyDescent="0.2">
      <c r="A168" s="2">
        <v>44910</v>
      </c>
      <c r="B168" s="1">
        <v>26</v>
      </c>
      <c r="C168">
        <f t="shared" si="8"/>
        <v>50</v>
      </c>
      <c r="D168">
        <f t="shared" si="9"/>
        <v>12</v>
      </c>
      <c r="E168">
        <f>VLOOKUP(C168,wau!B:C,2,)</f>
        <v>153</v>
      </c>
      <c r="F168">
        <f>VLOOKUP(D168,mau!B:C,2,)</f>
        <v>390</v>
      </c>
      <c r="G168">
        <f t="shared" si="10"/>
        <v>0.16993464052287582</v>
      </c>
      <c r="H168">
        <f t="shared" si="11"/>
        <v>6.6666666666666666E-2</v>
      </c>
    </row>
    <row r="169" spans="1:8" x14ac:dyDescent="0.2">
      <c r="A169" s="2">
        <v>44911</v>
      </c>
      <c r="B169" s="1">
        <v>27</v>
      </c>
      <c r="C169">
        <f t="shared" si="8"/>
        <v>50</v>
      </c>
      <c r="D169">
        <f t="shared" si="9"/>
        <v>12</v>
      </c>
      <c r="E169">
        <f>VLOOKUP(C169,wau!B:C,2,)</f>
        <v>153</v>
      </c>
      <c r="F169">
        <f>VLOOKUP(D169,mau!B:C,2,)</f>
        <v>390</v>
      </c>
      <c r="G169">
        <f t="shared" si="10"/>
        <v>0.17647058823529413</v>
      </c>
      <c r="H169">
        <f t="shared" si="11"/>
        <v>6.9230769230769235E-2</v>
      </c>
    </row>
    <row r="170" spans="1:8" x14ac:dyDescent="0.2">
      <c r="A170" s="2">
        <v>44912</v>
      </c>
      <c r="B170" s="1">
        <v>28</v>
      </c>
      <c r="C170">
        <f t="shared" si="8"/>
        <v>50</v>
      </c>
      <c r="D170">
        <f t="shared" si="9"/>
        <v>12</v>
      </c>
      <c r="E170">
        <f>VLOOKUP(C170,wau!B:C,2,)</f>
        <v>153</v>
      </c>
      <c r="F170">
        <f>VLOOKUP(D170,mau!B:C,2,)</f>
        <v>390</v>
      </c>
      <c r="G170">
        <f t="shared" si="10"/>
        <v>0.18300653594771241</v>
      </c>
      <c r="H170">
        <f t="shared" si="11"/>
        <v>7.179487179487179E-2</v>
      </c>
    </row>
    <row r="171" spans="1:8" x14ac:dyDescent="0.2">
      <c r="A171" s="2">
        <v>44913</v>
      </c>
      <c r="B171" s="1">
        <v>20</v>
      </c>
      <c r="C171">
        <f t="shared" si="8"/>
        <v>50</v>
      </c>
      <c r="D171">
        <f t="shared" si="9"/>
        <v>12</v>
      </c>
      <c r="E171">
        <f>VLOOKUP(C171,wau!B:C,2,)</f>
        <v>153</v>
      </c>
      <c r="F171">
        <f>VLOOKUP(D171,mau!B:C,2,)</f>
        <v>390</v>
      </c>
      <c r="G171">
        <f t="shared" si="10"/>
        <v>0.13071895424836602</v>
      </c>
      <c r="H171">
        <f t="shared" si="11"/>
        <v>5.128205128205128E-2</v>
      </c>
    </row>
    <row r="172" spans="1:8" x14ac:dyDescent="0.2">
      <c r="A172" s="2">
        <v>44914</v>
      </c>
      <c r="B172" s="1">
        <v>32</v>
      </c>
      <c r="C172">
        <f t="shared" si="8"/>
        <v>51</v>
      </c>
      <c r="D172">
        <f t="shared" si="9"/>
        <v>12</v>
      </c>
      <c r="E172">
        <f>VLOOKUP(C172,wau!B:C,2,)</f>
        <v>145</v>
      </c>
      <c r="F172">
        <f>VLOOKUP(D172,mau!B:C,2,)</f>
        <v>390</v>
      </c>
      <c r="G172">
        <f t="shared" si="10"/>
        <v>0.22068965517241379</v>
      </c>
      <c r="H172">
        <f t="shared" si="11"/>
        <v>8.2051282051282051E-2</v>
      </c>
    </row>
    <row r="173" spans="1:8" x14ac:dyDescent="0.2">
      <c r="A173" s="2">
        <v>44915</v>
      </c>
      <c r="B173" s="1">
        <v>28</v>
      </c>
      <c r="C173">
        <f t="shared" si="8"/>
        <v>51</v>
      </c>
      <c r="D173">
        <f t="shared" si="9"/>
        <v>12</v>
      </c>
      <c r="E173">
        <f>VLOOKUP(C173,wau!B:C,2,)</f>
        <v>145</v>
      </c>
      <c r="F173">
        <f>VLOOKUP(D173,mau!B:C,2,)</f>
        <v>390</v>
      </c>
      <c r="G173">
        <f t="shared" si="10"/>
        <v>0.19310344827586207</v>
      </c>
      <c r="H173">
        <f t="shared" si="11"/>
        <v>7.179487179487179E-2</v>
      </c>
    </row>
    <row r="174" spans="1:8" x14ac:dyDescent="0.2">
      <c r="A174" s="2">
        <v>44916</v>
      </c>
      <c r="B174" s="1">
        <v>28</v>
      </c>
      <c r="C174">
        <f t="shared" si="8"/>
        <v>51</v>
      </c>
      <c r="D174">
        <f t="shared" si="9"/>
        <v>12</v>
      </c>
      <c r="E174">
        <f>VLOOKUP(C174,wau!B:C,2,)</f>
        <v>145</v>
      </c>
      <c r="F174">
        <f>VLOOKUP(D174,mau!B:C,2,)</f>
        <v>390</v>
      </c>
      <c r="G174">
        <f t="shared" si="10"/>
        <v>0.19310344827586207</v>
      </c>
      <c r="H174">
        <f t="shared" si="11"/>
        <v>7.179487179487179E-2</v>
      </c>
    </row>
    <row r="175" spans="1:8" x14ac:dyDescent="0.2">
      <c r="A175" s="2">
        <v>44917</v>
      </c>
      <c r="B175" s="1">
        <v>29</v>
      </c>
      <c r="C175">
        <f t="shared" si="8"/>
        <v>51</v>
      </c>
      <c r="D175">
        <f t="shared" si="9"/>
        <v>12</v>
      </c>
      <c r="E175">
        <f>VLOOKUP(C175,wau!B:C,2,)</f>
        <v>145</v>
      </c>
      <c r="F175">
        <f>VLOOKUP(D175,mau!B:C,2,)</f>
        <v>390</v>
      </c>
      <c r="G175">
        <f t="shared" si="10"/>
        <v>0.2</v>
      </c>
      <c r="H175">
        <f t="shared" si="11"/>
        <v>7.4358974358974358E-2</v>
      </c>
    </row>
    <row r="176" spans="1:8" x14ac:dyDescent="0.2">
      <c r="A176" s="2">
        <v>44918</v>
      </c>
      <c r="B176" s="1">
        <v>36</v>
      </c>
      <c r="C176">
        <f t="shared" si="8"/>
        <v>51</v>
      </c>
      <c r="D176">
        <f t="shared" si="9"/>
        <v>12</v>
      </c>
      <c r="E176">
        <f>VLOOKUP(C176,wau!B:C,2,)</f>
        <v>145</v>
      </c>
      <c r="F176">
        <f>VLOOKUP(D176,mau!B:C,2,)</f>
        <v>390</v>
      </c>
      <c r="G176">
        <f t="shared" si="10"/>
        <v>0.24827586206896551</v>
      </c>
      <c r="H176">
        <f t="shared" si="11"/>
        <v>9.2307692307692313E-2</v>
      </c>
    </row>
    <row r="177" spans="1:8" x14ac:dyDescent="0.2">
      <c r="A177" s="2">
        <v>44919</v>
      </c>
      <c r="B177" s="1">
        <v>24</v>
      </c>
      <c r="C177">
        <f t="shared" si="8"/>
        <v>51</v>
      </c>
      <c r="D177">
        <f t="shared" si="9"/>
        <v>12</v>
      </c>
      <c r="E177">
        <f>VLOOKUP(C177,wau!B:C,2,)</f>
        <v>145</v>
      </c>
      <c r="F177">
        <f>VLOOKUP(D177,mau!B:C,2,)</f>
        <v>390</v>
      </c>
      <c r="G177">
        <f t="shared" si="10"/>
        <v>0.16551724137931034</v>
      </c>
      <c r="H177">
        <f t="shared" si="11"/>
        <v>6.1538461538461542E-2</v>
      </c>
    </row>
    <row r="178" spans="1:8" x14ac:dyDescent="0.2">
      <c r="A178" s="2">
        <v>44920</v>
      </c>
      <c r="B178" s="1">
        <v>33</v>
      </c>
      <c r="C178">
        <f t="shared" si="8"/>
        <v>51</v>
      </c>
      <c r="D178">
        <f t="shared" si="9"/>
        <v>12</v>
      </c>
      <c r="E178">
        <f>VLOOKUP(C178,wau!B:C,2,)</f>
        <v>145</v>
      </c>
      <c r="F178">
        <f>VLOOKUP(D178,mau!B:C,2,)</f>
        <v>390</v>
      </c>
      <c r="G178">
        <f t="shared" si="10"/>
        <v>0.22758620689655173</v>
      </c>
      <c r="H178">
        <f t="shared" si="11"/>
        <v>8.461538461538462E-2</v>
      </c>
    </row>
    <row r="179" spans="1:8" x14ac:dyDescent="0.2">
      <c r="A179" s="2">
        <v>44921</v>
      </c>
      <c r="B179" s="1">
        <v>26</v>
      </c>
      <c r="C179">
        <f t="shared" si="8"/>
        <v>52</v>
      </c>
      <c r="D179">
        <f t="shared" si="9"/>
        <v>12</v>
      </c>
      <c r="E179">
        <f>VLOOKUP(C179,wau!B:C,2,)</f>
        <v>141</v>
      </c>
      <c r="F179">
        <f>VLOOKUP(D179,mau!B:C,2,)</f>
        <v>390</v>
      </c>
      <c r="G179">
        <f t="shared" si="10"/>
        <v>0.18439716312056736</v>
      </c>
      <c r="H179">
        <f t="shared" si="11"/>
        <v>6.6666666666666666E-2</v>
      </c>
    </row>
    <row r="180" spans="1:8" x14ac:dyDescent="0.2">
      <c r="A180" s="2">
        <v>44922</v>
      </c>
      <c r="B180" s="1">
        <v>24</v>
      </c>
      <c r="C180">
        <f t="shared" si="8"/>
        <v>52</v>
      </c>
      <c r="D180">
        <f t="shared" si="9"/>
        <v>12</v>
      </c>
      <c r="E180">
        <f>VLOOKUP(C180,wau!B:C,2,)</f>
        <v>141</v>
      </c>
      <c r="F180">
        <f>VLOOKUP(D180,mau!B:C,2,)</f>
        <v>390</v>
      </c>
      <c r="G180">
        <f t="shared" si="10"/>
        <v>0.1702127659574468</v>
      </c>
      <c r="H180">
        <f t="shared" si="11"/>
        <v>6.1538461538461542E-2</v>
      </c>
    </row>
    <row r="181" spans="1:8" x14ac:dyDescent="0.2">
      <c r="A181" s="2">
        <v>44923</v>
      </c>
      <c r="B181" s="1">
        <v>32</v>
      </c>
      <c r="C181">
        <f t="shared" si="8"/>
        <v>52</v>
      </c>
      <c r="D181">
        <f t="shared" si="9"/>
        <v>12</v>
      </c>
      <c r="E181">
        <f>VLOOKUP(C181,wau!B:C,2,)</f>
        <v>141</v>
      </c>
      <c r="F181">
        <f>VLOOKUP(D181,mau!B:C,2,)</f>
        <v>390</v>
      </c>
      <c r="G181">
        <f t="shared" si="10"/>
        <v>0.22695035460992907</v>
      </c>
      <c r="H181">
        <f t="shared" si="11"/>
        <v>8.2051282051282051E-2</v>
      </c>
    </row>
    <row r="182" spans="1:8" x14ac:dyDescent="0.2">
      <c r="A182" s="2">
        <v>44924</v>
      </c>
      <c r="B182" s="1">
        <v>29</v>
      </c>
      <c r="C182">
        <f t="shared" si="8"/>
        <v>52</v>
      </c>
      <c r="D182">
        <f t="shared" si="9"/>
        <v>12</v>
      </c>
      <c r="E182">
        <f>VLOOKUP(C182,wau!B:C,2,)</f>
        <v>141</v>
      </c>
      <c r="F182">
        <f>VLOOKUP(D182,mau!B:C,2,)</f>
        <v>390</v>
      </c>
      <c r="G182">
        <f t="shared" si="10"/>
        <v>0.20567375886524822</v>
      </c>
      <c r="H182">
        <f t="shared" si="11"/>
        <v>7.4358974358974358E-2</v>
      </c>
    </row>
    <row r="183" spans="1:8" x14ac:dyDescent="0.2">
      <c r="A183" s="2">
        <v>44925</v>
      </c>
      <c r="B183" s="1">
        <v>22</v>
      </c>
      <c r="C183">
        <f t="shared" si="8"/>
        <v>52</v>
      </c>
      <c r="D183">
        <f t="shared" si="9"/>
        <v>12</v>
      </c>
      <c r="E183">
        <f>VLOOKUP(C183,wau!B:C,2,)</f>
        <v>141</v>
      </c>
      <c r="F183">
        <f>VLOOKUP(D183,mau!B:C,2,)</f>
        <v>390</v>
      </c>
      <c r="G183">
        <f t="shared" si="10"/>
        <v>0.15602836879432624</v>
      </c>
      <c r="H183">
        <f t="shared" si="11"/>
        <v>5.6410256410256411E-2</v>
      </c>
    </row>
    <row r="184" spans="1:8" x14ac:dyDescent="0.2">
      <c r="A184" s="2">
        <v>44926</v>
      </c>
      <c r="B184" s="1">
        <v>37</v>
      </c>
      <c r="C184">
        <f t="shared" si="8"/>
        <v>52</v>
      </c>
      <c r="D184">
        <f t="shared" si="9"/>
        <v>12</v>
      </c>
      <c r="E184">
        <f>VLOOKUP(C184,wau!B:C,2,)</f>
        <v>141</v>
      </c>
      <c r="F184">
        <f>VLOOKUP(D184,mau!B:C,2,)</f>
        <v>390</v>
      </c>
      <c r="G184">
        <f t="shared" si="10"/>
        <v>0.26241134751773049</v>
      </c>
      <c r="H184">
        <f t="shared" si="11"/>
        <v>9.4871794871794868E-2</v>
      </c>
    </row>
    <row r="185" spans="1:8" x14ac:dyDescent="0.2">
      <c r="A185" s="2">
        <v>44927</v>
      </c>
      <c r="B185" s="1">
        <v>24</v>
      </c>
      <c r="C185">
        <f t="shared" si="8"/>
        <v>52</v>
      </c>
      <c r="D185">
        <f t="shared" si="9"/>
        <v>1</v>
      </c>
      <c r="E185">
        <f>VLOOKUP(C185,wau!B:C,2,)</f>
        <v>141</v>
      </c>
      <c r="F185">
        <f>VLOOKUP(D185,mau!B:C,2,)</f>
        <v>536</v>
      </c>
      <c r="G185">
        <f t="shared" si="10"/>
        <v>0.1702127659574468</v>
      </c>
      <c r="H185">
        <f t="shared" si="11"/>
        <v>4.4776119402985072E-2</v>
      </c>
    </row>
    <row r="186" spans="1:8" x14ac:dyDescent="0.2">
      <c r="A186" s="2">
        <v>44928</v>
      </c>
      <c r="B186" s="1">
        <v>35</v>
      </c>
      <c r="C186">
        <f t="shared" si="8"/>
        <v>1</v>
      </c>
      <c r="D186">
        <f t="shared" si="9"/>
        <v>1</v>
      </c>
      <c r="E186">
        <f>VLOOKUP(C186,wau!B:C,2,)</f>
        <v>190</v>
      </c>
      <c r="F186">
        <f>VLOOKUP(D186,mau!B:C,2,)</f>
        <v>536</v>
      </c>
      <c r="G186">
        <f t="shared" si="10"/>
        <v>0.18421052631578946</v>
      </c>
      <c r="H186">
        <f t="shared" si="11"/>
        <v>6.5298507462686561E-2</v>
      </c>
    </row>
    <row r="187" spans="1:8" x14ac:dyDescent="0.2">
      <c r="A187" s="2">
        <v>44929</v>
      </c>
      <c r="B187" s="1">
        <v>40</v>
      </c>
      <c r="C187">
        <f t="shared" si="8"/>
        <v>1</v>
      </c>
      <c r="D187">
        <f t="shared" si="9"/>
        <v>1</v>
      </c>
      <c r="E187">
        <f>VLOOKUP(C187,wau!B:C,2,)</f>
        <v>190</v>
      </c>
      <c r="F187">
        <f>VLOOKUP(D187,mau!B:C,2,)</f>
        <v>536</v>
      </c>
      <c r="G187">
        <f t="shared" si="10"/>
        <v>0.21052631578947367</v>
      </c>
      <c r="H187">
        <f t="shared" si="11"/>
        <v>7.4626865671641784E-2</v>
      </c>
    </row>
    <row r="188" spans="1:8" x14ac:dyDescent="0.2">
      <c r="A188" s="2">
        <v>44930</v>
      </c>
      <c r="B188" s="1">
        <v>46</v>
      </c>
      <c r="C188">
        <f t="shared" si="8"/>
        <v>1</v>
      </c>
      <c r="D188">
        <f t="shared" si="9"/>
        <v>1</v>
      </c>
      <c r="E188">
        <f>VLOOKUP(C188,wau!B:C,2,)</f>
        <v>190</v>
      </c>
      <c r="F188">
        <f>VLOOKUP(D188,mau!B:C,2,)</f>
        <v>536</v>
      </c>
      <c r="G188">
        <f t="shared" si="10"/>
        <v>0.24210526315789474</v>
      </c>
      <c r="H188">
        <f t="shared" si="11"/>
        <v>8.5820895522388058E-2</v>
      </c>
    </row>
    <row r="189" spans="1:8" x14ac:dyDescent="0.2">
      <c r="A189" s="2">
        <v>44931</v>
      </c>
      <c r="B189" s="1">
        <v>36</v>
      </c>
      <c r="C189">
        <f t="shared" si="8"/>
        <v>1</v>
      </c>
      <c r="D189">
        <f t="shared" si="9"/>
        <v>1</v>
      </c>
      <c r="E189">
        <f>VLOOKUP(C189,wau!B:C,2,)</f>
        <v>190</v>
      </c>
      <c r="F189">
        <f>VLOOKUP(D189,mau!B:C,2,)</f>
        <v>536</v>
      </c>
      <c r="G189">
        <f t="shared" si="10"/>
        <v>0.18947368421052632</v>
      </c>
      <c r="H189">
        <f t="shared" si="11"/>
        <v>6.7164179104477612E-2</v>
      </c>
    </row>
    <row r="190" spans="1:8" x14ac:dyDescent="0.2">
      <c r="A190" s="2">
        <v>44932</v>
      </c>
      <c r="B190" s="1">
        <v>46</v>
      </c>
      <c r="C190">
        <f t="shared" si="8"/>
        <v>1</v>
      </c>
      <c r="D190">
        <f t="shared" si="9"/>
        <v>1</v>
      </c>
      <c r="E190">
        <f>VLOOKUP(C190,wau!B:C,2,)</f>
        <v>190</v>
      </c>
      <c r="F190">
        <f>VLOOKUP(D190,mau!B:C,2,)</f>
        <v>536</v>
      </c>
      <c r="G190">
        <f t="shared" si="10"/>
        <v>0.24210526315789474</v>
      </c>
      <c r="H190">
        <f t="shared" si="11"/>
        <v>8.5820895522388058E-2</v>
      </c>
    </row>
    <row r="191" spans="1:8" x14ac:dyDescent="0.2">
      <c r="A191" s="2">
        <v>44933</v>
      </c>
      <c r="B191" s="1">
        <v>35</v>
      </c>
      <c r="C191">
        <f t="shared" si="8"/>
        <v>1</v>
      </c>
      <c r="D191">
        <f t="shared" si="9"/>
        <v>1</v>
      </c>
      <c r="E191">
        <f>VLOOKUP(C191,wau!B:C,2,)</f>
        <v>190</v>
      </c>
      <c r="F191">
        <f>VLOOKUP(D191,mau!B:C,2,)</f>
        <v>536</v>
      </c>
      <c r="G191">
        <f t="shared" si="10"/>
        <v>0.18421052631578946</v>
      </c>
      <c r="H191">
        <f t="shared" si="11"/>
        <v>6.5298507462686561E-2</v>
      </c>
    </row>
    <row r="192" spans="1:8" x14ac:dyDescent="0.2">
      <c r="A192" s="2">
        <v>44934</v>
      </c>
      <c r="B192" s="1">
        <v>53</v>
      </c>
      <c r="C192">
        <f t="shared" si="8"/>
        <v>1</v>
      </c>
      <c r="D192">
        <f t="shared" si="9"/>
        <v>1</v>
      </c>
      <c r="E192">
        <f>VLOOKUP(C192,wau!B:C,2,)</f>
        <v>190</v>
      </c>
      <c r="F192">
        <f>VLOOKUP(D192,mau!B:C,2,)</f>
        <v>536</v>
      </c>
      <c r="G192">
        <f t="shared" si="10"/>
        <v>0.27894736842105261</v>
      </c>
      <c r="H192">
        <f t="shared" si="11"/>
        <v>9.8880597014925367E-2</v>
      </c>
    </row>
    <row r="193" spans="1:8" x14ac:dyDescent="0.2">
      <c r="A193" s="2">
        <v>44935</v>
      </c>
      <c r="B193" s="1">
        <v>53</v>
      </c>
      <c r="C193">
        <f t="shared" si="8"/>
        <v>2</v>
      </c>
      <c r="D193">
        <f t="shared" si="9"/>
        <v>1</v>
      </c>
      <c r="E193">
        <f>VLOOKUP(C193,wau!B:C,2,)</f>
        <v>233</v>
      </c>
      <c r="F193">
        <f>VLOOKUP(D193,mau!B:C,2,)</f>
        <v>536</v>
      </c>
      <c r="G193">
        <f t="shared" si="10"/>
        <v>0.22746781115879827</v>
      </c>
      <c r="H193">
        <f t="shared" si="11"/>
        <v>9.8880597014925367E-2</v>
      </c>
    </row>
    <row r="194" spans="1:8" x14ac:dyDescent="0.2">
      <c r="A194" s="2">
        <v>44936</v>
      </c>
      <c r="B194" s="1">
        <v>52</v>
      </c>
      <c r="C194">
        <f t="shared" si="8"/>
        <v>2</v>
      </c>
      <c r="D194">
        <f t="shared" si="9"/>
        <v>1</v>
      </c>
      <c r="E194">
        <f>VLOOKUP(C194,wau!B:C,2,)</f>
        <v>233</v>
      </c>
      <c r="F194">
        <f>VLOOKUP(D194,mau!B:C,2,)</f>
        <v>536</v>
      </c>
      <c r="G194">
        <f t="shared" si="10"/>
        <v>0.22317596566523606</v>
      </c>
      <c r="H194">
        <f t="shared" si="11"/>
        <v>9.7014925373134331E-2</v>
      </c>
    </row>
    <row r="195" spans="1:8" x14ac:dyDescent="0.2">
      <c r="A195" s="2">
        <v>44937</v>
      </c>
      <c r="B195" s="1">
        <v>65</v>
      </c>
      <c r="C195">
        <f t="shared" ref="C195:C258" si="12">_xlfn.ISOWEEKNUM(A195)</f>
        <v>2</v>
      </c>
      <c r="D195">
        <f t="shared" ref="D195:D258" si="13">MONTH(A195)</f>
        <v>1</v>
      </c>
      <c r="E195">
        <f>VLOOKUP(C195,wau!B:C,2,)</f>
        <v>233</v>
      </c>
      <c r="F195">
        <f>VLOOKUP(D195,mau!B:C,2,)</f>
        <v>536</v>
      </c>
      <c r="G195">
        <f t="shared" ref="G195:G258" si="14">B195/E195</f>
        <v>0.27896995708154504</v>
      </c>
      <c r="H195">
        <f t="shared" ref="H195:H258" si="15">B195/F195</f>
        <v>0.12126865671641791</v>
      </c>
    </row>
    <row r="196" spans="1:8" x14ac:dyDescent="0.2">
      <c r="A196" s="2">
        <v>44938</v>
      </c>
      <c r="B196" s="1">
        <v>52</v>
      </c>
      <c r="C196">
        <f t="shared" si="12"/>
        <v>2</v>
      </c>
      <c r="D196">
        <f t="shared" si="13"/>
        <v>1</v>
      </c>
      <c r="E196">
        <f>VLOOKUP(C196,wau!B:C,2,)</f>
        <v>233</v>
      </c>
      <c r="F196">
        <f>VLOOKUP(D196,mau!B:C,2,)</f>
        <v>536</v>
      </c>
      <c r="G196">
        <f t="shared" si="14"/>
        <v>0.22317596566523606</v>
      </c>
      <c r="H196">
        <f t="shared" si="15"/>
        <v>9.7014925373134331E-2</v>
      </c>
    </row>
    <row r="197" spans="1:8" x14ac:dyDescent="0.2">
      <c r="A197" s="2">
        <v>44939</v>
      </c>
      <c r="B197" s="1">
        <v>62</v>
      </c>
      <c r="C197">
        <f t="shared" si="12"/>
        <v>2</v>
      </c>
      <c r="D197">
        <f t="shared" si="13"/>
        <v>1</v>
      </c>
      <c r="E197">
        <f>VLOOKUP(C197,wau!B:C,2,)</f>
        <v>233</v>
      </c>
      <c r="F197">
        <f>VLOOKUP(D197,mau!B:C,2,)</f>
        <v>536</v>
      </c>
      <c r="G197">
        <f t="shared" si="14"/>
        <v>0.26609442060085836</v>
      </c>
      <c r="H197">
        <f t="shared" si="15"/>
        <v>0.11567164179104478</v>
      </c>
    </row>
    <row r="198" spans="1:8" x14ac:dyDescent="0.2">
      <c r="A198" s="2">
        <v>44940</v>
      </c>
      <c r="B198" s="1">
        <v>77</v>
      </c>
      <c r="C198">
        <f t="shared" si="12"/>
        <v>2</v>
      </c>
      <c r="D198">
        <f t="shared" si="13"/>
        <v>1</v>
      </c>
      <c r="E198">
        <f>VLOOKUP(C198,wau!B:C,2,)</f>
        <v>233</v>
      </c>
      <c r="F198">
        <f>VLOOKUP(D198,mau!B:C,2,)</f>
        <v>536</v>
      </c>
      <c r="G198">
        <f t="shared" si="14"/>
        <v>0.33047210300429186</v>
      </c>
      <c r="H198">
        <f t="shared" si="15"/>
        <v>0.14365671641791045</v>
      </c>
    </row>
    <row r="199" spans="1:8" x14ac:dyDescent="0.2">
      <c r="A199" s="2">
        <v>44941</v>
      </c>
      <c r="B199" s="1">
        <v>61</v>
      </c>
      <c r="C199">
        <f t="shared" si="12"/>
        <v>2</v>
      </c>
      <c r="D199">
        <f t="shared" si="13"/>
        <v>1</v>
      </c>
      <c r="E199">
        <f>VLOOKUP(C199,wau!B:C,2,)</f>
        <v>233</v>
      </c>
      <c r="F199">
        <f>VLOOKUP(D199,mau!B:C,2,)</f>
        <v>536</v>
      </c>
      <c r="G199">
        <f t="shared" si="14"/>
        <v>0.26180257510729615</v>
      </c>
      <c r="H199">
        <f t="shared" si="15"/>
        <v>0.11380597014925373</v>
      </c>
    </row>
    <row r="200" spans="1:8" x14ac:dyDescent="0.2">
      <c r="A200" s="2">
        <v>44942</v>
      </c>
      <c r="B200" s="1">
        <v>70</v>
      </c>
      <c r="C200">
        <f t="shared" si="12"/>
        <v>3</v>
      </c>
      <c r="D200">
        <f t="shared" si="13"/>
        <v>1</v>
      </c>
      <c r="E200">
        <f>VLOOKUP(C200,wau!B:C,2,)</f>
        <v>272</v>
      </c>
      <c r="F200">
        <f>VLOOKUP(D200,mau!B:C,2,)</f>
        <v>536</v>
      </c>
      <c r="G200">
        <f t="shared" si="14"/>
        <v>0.25735294117647056</v>
      </c>
      <c r="H200">
        <f t="shared" si="15"/>
        <v>0.13059701492537312</v>
      </c>
    </row>
    <row r="201" spans="1:8" x14ac:dyDescent="0.2">
      <c r="A201" s="2">
        <v>44943</v>
      </c>
      <c r="B201" s="1">
        <v>66</v>
      </c>
      <c r="C201">
        <f t="shared" si="12"/>
        <v>3</v>
      </c>
      <c r="D201">
        <f t="shared" si="13"/>
        <v>1</v>
      </c>
      <c r="E201">
        <f>VLOOKUP(C201,wau!B:C,2,)</f>
        <v>272</v>
      </c>
      <c r="F201">
        <f>VLOOKUP(D201,mau!B:C,2,)</f>
        <v>536</v>
      </c>
      <c r="G201">
        <f t="shared" si="14"/>
        <v>0.24264705882352941</v>
      </c>
      <c r="H201">
        <f t="shared" si="15"/>
        <v>0.12313432835820895</v>
      </c>
    </row>
    <row r="202" spans="1:8" x14ac:dyDescent="0.2">
      <c r="A202" s="2">
        <v>44944</v>
      </c>
      <c r="B202" s="1">
        <v>73</v>
      </c>
      <c r="C202">
        <f t="shared" si="12"/>
        <v>3</v>
      </c>
      <c r="D202">
        <f t="shared" si="13"/>
        <v>1</v>
      </c>
      <c r="E202">
        <f>VLOOKUP(C202,wau!B:C,2,)</f>
        <v>272</v>
      </c>
      <c r="F202">
        <f>VLOOKUP(D202,mau!B:C,2,)</f>
        <v>536</v>
      </c>
      <c r="G202">
        <f t="shared" si="14"/>
        <v>0.26838235294117646</v>
      </c>
      <c r="H202">
        <f t="shared" si="15"/>
        <v>0.13619402985074627</v>
      </c>
    </row>
    <row r="203" spans="1:8" x14ac:dyDescent="0.2">
      <c r="A203" s="2">
        <v>44945</v>
      </c>
      <c r="B203" s="1">
        <v>73</v>
      </c>
      <c r="C203">
        <f t="shared" si="12"/>
        <v>3</v>
      </c>
      <c r="D203">
        <f t="shared" si="13"/>
        <v>1</v>
      </c>
      <c r="E203">
        <f>VLOOKUP(C203,wau!B:C,2,)</f>
        <v>272</v>
      </c>
      <c r="F203">
        <f>VLOOKUP(D203,mau!B:C,2,)</f>
        <v>536</v>
      </c>
      <c r="G203">
        <f t="shared" si="14"/>
        <v>0.26838235294117646</v>
      </c>
      <c r="H203">
        <f t="shared" si="15"/>
        <v>0.13619402985074627</v>
      </c>
    </row>
    <row r="204" spans="1:8" x14ac:dyDescent="0.2">
      <c r="A204" s="2">
        <v>44946</v>
      </c>
      <c r="B204" s="1">
        <v>80</v>
      </c>
      <c r="C204">
        <f t="shared" si="12"/>
        <v>3</v>
      </c>
      <c r="D204">
        <f t="shared" si="13"/>
        <v>1</v>
      </c>
      <c r="E204">
        <f>VLOOKUP(C204,wau!B:C,2,)</f>
        <v>272</v>
      </c>
      <c r="F204">
        <f>VLOOKUP(D204,mau!B:C,2,)</f>
        <v>536</v>
      </c>
      <c r="G204">
        <f t="shared" si="14"/>
        <v>0.29411764705882354</v>
      </c>
      <c r="H204">
        <f t="shared" si="15"/>
        <v>0.14925373134328357</v>
      </c>
    </row>
    <row r="205" spans="1:8" x14ac:dyDescent="0.2">
      <c r="A205" s="2">
        <v>44947</v>
      </c>
      <c r="B205" s="1">
        <v>75</v>
      </c>
      <c r="C205">
        <f t="shared" si="12"/>
        <v>3</v>
      </c>
      <c r="D205">
        <f t="shared" si="13"/>
        <v>1</v>
      </c>
      <c r="E205">
        <f>VLOOKUP(C205,wau!B:C,2,)</f>
        <v>272</v>
      </c>
      <c r="F205">
        <f>VLOOKUP(D205,mau!B:C,2,)</f>
        <v>536</v>
      </c>
      <c r="G205">
        <f t="shared" si="14"/>
        <v>0.27573529411764708</v>
      </c>
      <c r="H205">
        <f t="shared" si="15"/>
        <v>0.13992537313432835</v>
      </c>
    </row>
    <row r="206" spans="1:8" x14ac:dyDescent="0.2">
      <c r="A206" s="2">
        <v>44948</v>
      </c>
      <c r="B206" s="1">
        <v>90</v>
      </c>
      <c r="C206">
        <f t="shared" si="12"/>
        <v>3</v>
      </c>
      <c r="D206">
        <f t="shared" si="13"/>
        <v>1</v>
      </c>
      <c r="E206">
        <f>VLOOKUP(C206,wau!B:C,2,)</f>
        <v>272</v>
      </c>
      <c r="F206">
        <f>VLOOKUP(D206,mau!B:C,2,)</f>
        <v>536</v>
      </c>
      <c r="G206">
        <f t="shared" si="14"/>
        <v>0.33088235294117646</v>
      </c>
      <c r="H206">
        <f t="shared" si="15"/>
        <v>0.16791044776119404</v>
      </c>
    </row>
    <row r="207" spans="1:8" x14ac:dyDescent="0.2">
      <c r="A207" s="2">
        <v>44949</v>
      </c>
      <c r="B207" s="1">
        <v>78</v>
      </c>
      <c r="C207">
        <f t="shared" si="12"/>
        <v>4</v>
      </c>
      <c r="D207">
        <f t="shared" si="13"/>
        <v>1</v>
      </c>
      <c r="E207">
        <f>VLOOKUP(C207,wau!B:C,2,)</f>
        <v>295</v>
      </c>
      <c r="F207">
        <f>VLOOKUP(D207,mau!B:C,2,)</f>
        <v>536</v>
      </c>
      <c r="G207">
        <f t="shared" si="14"/>
        <v>0.26440677966101694</v>
      </c>
      <c r="H207">
        <f t="shared" si="15"/>
        <v>0.1455223880597015</v>
      </c>
    </row>
    <row r="208" spans="1:8" x14ac:dyDescent="0.2">
      <c r="A208" s="2">
        <v>44950</v>
      </c>
      <c r="B208" s="1">
        <v>90</v>
      </c>
      <c r="C208">
        <f t="shared" si="12"/>
        <v>4</v>
      </c>
      <c r="D208">
        <f t="shared" si="13"/>
        <v>1</v>
      </c>
      <c r="E208">
        <f>VLOOKUP(C208,wau!B:C,2,)</f>
        <v>295</v>
      </c>
      <c r="F208">
        <f>VLOOKUP(D208,mau!B:C,2,)</f>
        <v>536</v>
      </c>
      <c r="G208">
        <f t="shared" si="14"/>
        <v>0.30508474576271188</v>
      </c>
      <c r="H208">
        <f t="shared" si="15"/>
        <v>0.16791044776119404</v>
      </c>
    </row>
    <row r="209" spans="1:8" x14ac:dyDescent="0.2">
      <c r="A209" s="2">
        <v>44951</v>
      </c>
      <c r="B209" s="1">
        <v>88</v>
      </c>
      <c r="C209">
        <f t="shared" si="12"/>
        <v>4</v>
      </c>
      <c r="D209">
        <f t="shared" si="13"/>
        <v>1</v>
      </c>
      <c r="E209">
        <f>VLOOKUP(C209,wau!B:C,2,)</f>
        <v>295</v>
      </c>
      <c r="F209">
        <f>VLOOKUP(D209,mau!B:C,2,)</f>
        <v>536</v>
      </c>
      <c r="G209">
        <f t="shared" si="14"/>
        <v>0.29830508474576273</v>
      </c>
      <c r="H209">
        <f t="shared" si="15"/>
        <v>0.16417910447761194</v>
      </c>
    </row>
    <row r="210" spans="1:8" x14ac:dyDescent="0.2">
      <c r="A210" s="2">
        <v>44952</v>
      </c>
      <c r="B210" s="1">
        <v>83</v>
      </c>
      <c r="C210">
        <f t="shared" si="12"/>
        <v>4</v>
      </c>
      <c r="D210">
        <f t="shared" si="13"/>
        <v>1</v>
      </c>
      <c r="E210">
        <f>VLOOKUP(C210,wau!B:C,2,)</f>
        <v>295</v>
      </c>
      <c r="F210">
        <f>VLOOKUP(D210,mau!B:C,2,)</f>
        <v>536</v>
      </c>
      <c r="G210">
        <f t="shared" si="14"/>
        <v>0.28135593220338984</v>
      </c>
      <c r="H210">
        <f t="shared" si="15"/>
        <v>0.15485074626865672</v>
      </c>
    </row>
    <row r="211" spans="1:8" x14ac:dyDescent="0.2">
      <c r="A211" s="2">
        <v>44953</v>
      </c>
      <c r="B211" s="1">
        <v>92</v>
      </c>
      <c r="C211">
        <f t="shared" si="12"/>
        <v>4</v>
      </c>
      <c r="D211">
        <f t="shared" si="13"/>
        <v>1</v>
      </c>
      <c r="E211">
        <f>VLOOKUP(C211,wau!B:C,2,)</f>
        <v>295</v>
      </c>
      <c r="F211">
        <f>VLOOKUP(D211,mau!B:C,2,)</f>
        <v>536</v>
      </c>
      <c r="G211">
        <f t="shared" si="14"/>
        <v>0.31186440677966104</v>
      </c>
      <c r="H211">
        <f t="shared" si="15"/>
        <v>0.17164179104477612</v>
      </c>
    </row>
    <row r="212" spans="1:8" x14ac:dyDescent="0.2">
      <c r="A212" s="2">
        <v>44954</v>
      </c>
      <c r="B212" s="1">
        <v>99</v>
      </c>
      <c r="C212">
        <f t="shared" si="12"/>
        <v>4</v>
      </c>
      <c r="D212">
        <f t="shared" si="13"/>
        <v>1</v>
      </c>
      <c r="E212">
        <f>VLOOKUP(C212,wau!B:C,2,)</f>
        <v>295</v>
      </c>
      <c r="F212">
        <f>VLOOKUP(D212,mau!B:C,2,)</f>
        <v>536</v>
      </c>
      <c r="G212">
        <f t="shared" si="14"/>
        <v>0.33559322033898303</v>
      </c>
      <c r="H212">
        <f t="shared" si="15"/>
        <v>0.18470149253731344</v>
      </c>
    </row>
    <row r="213" spans="1:8" x14ac:dyDescent="0.2">
      <c r="A213" s="2">
        <v>44955</v>
      </c>
      <c r="B213" s="1">
        <v>93</v>
      </c>
      <c r="C213">
        <f t="shared" si="12"/>
        <v>4</v>
      </c>
      <c r="D213">
        <f t="shared" si="13"/>
        <v>1</v>
      </c>
      <c r="E213">
        <f>VLOOKUP(C213,wau!B:C,2,)</f>
        <v>295</v>
      </c>
      <c r="F213">
        <f>VLOOKUP(D213,mau!B:C,2,)</f>
        <v>536</v>
      </c>
      <c r="G213">
        <f t="shared" si="14"/>
        <v>0.31525423728813562</v>
      </c>
      <c r="H213">
        <f t="shared" si="15"/>
        <v>0.17350746268656717</v>
      </c>
    </row>
    <row r="214" spans="1:8" x14ac:dyDescent="0.2">
      <c r="A214" s="2">
        <v>44956</v>
      </c>
      <c r="B214" s="1">
        <v>115</v>
      </c>
      <c r="C214">
        <f t="shared" si="12"/>
        <v>5</v>
      </c>
      <c r="D214">
        <f t="shared" si="13"/>
        <v>1</v>
      </c>
      <c r="E214">
        <f>VLOOKUP(C214,wau!B:C,2,)</f>
        <v>346</v>
      </c>
      <c r="F214">
        <f>VLOOKUP(D214,mau!B:C,2,)</f>
        <v>536</v>
      </c>
      <c r="G214">
        <f t="shared" si="14"/>
        <v>0.33236994219653176</v>
      </c>
      <c r="H214">
        <f t="shared" si="15"/>
        <v>0.21455223880597016</v>
      </c>
    </row>
    <row r="215" spans="1:8" x14ac:dyDescent="0.2">
      <c r="A215" s="2">
        <v>44957</v>
      </c>
      <c r="B215" s="1">
        <v>108</v>
      </c>
      <c r="C215">
        <f t="shared" si="12"/>
        <v>5</v>
      </c>
      <c r="D215">
        <f t="shared" si="13"/>
        <v>1</v>
      </c>
      <c r="E215">
        <f>VLOOKUP(C215,wau!B:C,2,)</f>
        <v>346</v>
      </c>
      <c r="F215">
        <f>VLOOKUP(D215,mau!B:C,2,)</f>
        <v>536</v>
      </c>
      <c r="G215">
        <f t="shared" si="14"/>
        <v>0.31213872832369943</v>
      </c>
      <c r="H215">
        <f t="shared" si="15"/>
        <v>0.20149253731343283</v>
      </c>
    </row>
    <row r="216" spans="1:8" x14ac:dyDescent="0.2">
      <c r="A216" s="2">
        <v>44958</v>
      </c>
      <c r="B216" s="1">
        <v>112</v>
      </c>
      <c r="C216">
        <f t="shared" si="12"/>
        <v>5</v>
      </c>
      <c r="D216">
        <f t="shared" si="13"/>
        <v>2</v>
      </c>
      <c r="E216">
        <f>VLOOKUP(C216,wau!B:C,2,)</f>
        <v>346</v>
      </c>
      <c r="F216">
        <f>VLOOKUP(D216,mau!B:C,2,)</f>
        <v>696</v>
      </c>
      <c r="G216">
        <f t="shared" si="14"/>
        <v>0.32369942196531792</v>
      </c>
      <c r="H216">
        <f t="shared" si="15"/>
        <v>0.16091954022988506</v>
      </c>
    </row>
    <row r="217" spans="1:8" x14ac:dyDescent="0.2">
      <c r="A217" s="2">
        <v>44959</v>
      </c>
      <c r="B217" s="1">
        <v>86</v>
      </c>
      <c r="C217">
        <f t="shared" si="12"/>
        <v>5</v>
      </c>
      <c r="D217">
        <f t="shared" si="13"/>
        <v>2</v>
      </c>
      <c r="E217">
        <f>VLOOKUP(C217,wau!B:C,2,)</f>
        <v>346</v>
      </c>
      <c r="F217">
        <f>VLOOKUP(D217,mau!B:C,2,)</f>
        <v>696</v>
      </c>
      <c r="G217">
        <f t="shared" si="14"/>
        <v>0.24855491329479767</v>
      </c>
      <c r="H217">
        <f t="shared" si="15"/>
        <v>0.1235632183908046</v>
      </c>
    </row>
    <row r="218" spans="1:8" x14ac:dyDescent="0.2">
      <c r="A218" s="2">
        <v>44960</v>
      </c>
      <c r="B218" s="1">
        <v>98</v>
      </c>
      <c r="C218">
        <f t="shared" si="12"/>
        <v>5</v>
      </c>
      <c r="D218">
        <f t="shared" si="13"/>
        <v>2</v>
      </c>
      <c r="E218">
        <f>VLOOKUP(C218,wau!B:C,2,)</f>
        <v>346</v>
      </c>
      <c r="F218">
        <f>VLOOKUP(D218,mau!B:C,2,)</f>
        <v>696</v>
      </c>
      <c r="G218">
        <f t="shared" si="14"/>
        <v>0.2832369942196532</v>
      </c>
      <c r="H218">
        <f t="shared" si="15"/>
        <v>0.14080459770114942</v>
      </c>
    </row>
    <row r="219" spans="1:8" x14ac:dyDescent="0.2">
      <c r="A219" s="2">
        <v>44961</v>
      </c>
      <c r="B219" s="1">
        <v>100</v>
      </c>
      <c r="C219">
        <f t="shared" si="12"/>
        <v>5</v>
      </c>
      <c r="D219">
        <f t="shared" si="13"/>
        <v>2</v>
      </c>
      <c r="E219">
        <f>VLOOKUP(C219,wau!B:C,2,)</f>
        <v>346</v>
      </c>
      <c r="F219">
        <f>VLOOKUP(D219,mau!B:C,2,)</f>
        <v>696</v>
      </c>
      <c r="G219">
        <f t="shared" si="14"/>
        <v>0.28901734104046245</v>
      </c>
      <c r="H219">
        <f t="shared" si="15"/>
        <v>0.14367816091954022</v>
      </c>
    </row>
    <row r="220" spans="1:8" x14ac:dyDescent="0.2">
      <c r="A220" s="2">
        <v>44962</v>
      </c>
      <c r="B220" s="1">
        <v>95</v>
      </c>
      <c r="C220">
        <f t="shared" si="12"/>
        <v>5</v>
      </c>
      <c r="D220">
        <f t="shared" si="13"/>
        <v>2</v>
      </c>
      <c r="E220">
        <f>VLOOKUP(C220,wau!B:C,2,)</f>
        <v>346</v>
      </c>
      <c r="F220">
        <f>VLOOKUP(D220,mau!B:C,2,)</f>
        <v>696</v>
      </c>
      <c r="G220">
        <f t="shared" si="14"/>
        <v>0.27456647398843931</v>
      </c>
      <c r="H220">
        <f t="shared" si="15"/>
        <v>0.13649425287356323</v>
      </c>
    </row>
    <row r="221" spans="1:8" x14ac:dyDescent="0.2">
      <c r="A221" s="2">
        <v>44963</v>
      </c>
      <c r="B221" s="1">
        <v>98</v>
      </c>
      <c r="C221">
        <f t="shared" si="12"/>
        <v>6</v>
      </c>
      <c r="D221">
        <f t="shared" si="13"/>
        <v>2</v>
      </c>
      <c r="E221">
        <f>VLOOKUP(C221,wau!B:C,2,)</f>
        <v>340</v>
      </c>
      <c r="F221">
        <f>VLOOKUP(D221,mau!B:C,2,)</f>
        <v>696</v>
      </c>
      <c r="G221">
        <f t="shared" si="14"/>
        <v>0.28823529411764703</v>
      </c>
      <c r="H221">
        <f t="shared" si="15"/>
        <v>0.14080459770114942</v>
      </c>
    </row>
    <row r="222" spans="1:8" x14ac:dyDescent="0.2">
      <c r="A222" s="2">
        <v>44964</v>
      </c>
      <c r="B222" s="1">
        <v>90</v>
      </c>
      <c r="C222">
        <f t="shared" si="12"/>
        <v>6</v>
      </c>
      <c r="D222">
        <f t="shared" si="13"/>
        <v>2</v>
      </c>
      <c r="E222">
        <f>VLOOKUP(C222,wau!B:C,2,)</f>
        <v>340</v>
      </c>
      <c r="F222">
        <f>VLOOKUP(D222,mau!B:C,2,)</f>
        <v>696</v>
      </c>
      <c r="G222">
        <f t="shared" si="14"/>
        <v>0.26470588235294118</v>
      </c>
      <c r="H222">
        <f t="shared" si="15"/>
        <v>0.12931034482758622</v>
      </c>
    </row>
    <row r="223" spans="1:8" x14ac:dyDescent="0.2">
      <c r="A223" s="2">
        <v>44965</v>
      </c>
      <c r="B223" s="1">
        <v>107</v>
      </c>
      <c r="C223">
        <f t="shared" si="12"/>
        <v>6</v>
      </c>
      <c r="D223">
        <f t="shared" si="13"/>
        <v>2</v>
      </c>
      <c r="E223">
        <f>VLOOKUP(C223,wau!B:C,2,)</f>
        <v>340</v>
      </c>
      <c r="F223">
        <f>VLOOKUP(D223,mau!B:C,2,)</f>
        <v>696</v>
      </c>
      <c r="G223">
        <f t="shared" si="14"/>
        <v>0.31470588235294117</v>
      </c>
      <c r="H223">
        <f t="shared" si="15"/>
        <v>0.15373563218390804</v>
      </c>
    </row>
    <row r="224" spans="1:8" x14ac:dyDescent="0.2">
      <c r="A224" s="2">
        <v>44966</v>
      </c>
      <c r="B224" s="1">
        <v>101</v>
      </c>
      <c r="C224">
        <f t="shared" si="12"/>
        <v>6</v>
      </c>
      <c r="D224">
        <f t="shared" si="13"/>
        <v>2</v>
      </c>
      <c r="E224">
        <f>VLOOKUP(C224,wau!B:C,2,)</f>
        <v>340</v>
      </c>
      <c r="F224">
        <f>VLOOKUP(D224,mau!B:C,2,)</f>
        <v>696</v>
      </c>
      <c r="G224">
        <f t="shared" si="14"/>
        <v>0.29705882352941176</v>
      </c>
      <c r="H224">
        <f t="shared" si="15"/>
        <v>0.14511494252873564</v>
      </c>
    </row>
    <row r="225" spans="1:8" x14ac:dyDescent="0.2">
      <c r="A225" s="2">
        <v>44967</v>
      </c>
      <c r="B225" s="1">
        <v>104</v>
      </c>
      <c r="C225">
        <f t="shared" si="12"/>
        <v>6</v>
      </c>
      <c r="D225">
        <f t="shared" si="13"/>
        <v>2</v>
      </c>
      <c r="E225">
        <f>VLOOKUP(C225,wau!B:C,2,)</f>
        <v>340</v>
      </c>
      <c r="F225">
        <f>VLOOKUP(D225,mau!B:C,2,)</f>
        <v>696</v>
      </c>
      <c r="G225">
        <f t="shared" si="14"/>
        <v>0.30588235294117649</v>
      </c>
      <c r="H225">
        <f t="shared" si="15"/>
        <v>0.14942528735632185</v>
      </c>
    </row>
    <row r="226" spans="1:8" x14ac:dyDescent="0.2">
      <c r="A226" s="2">
        <v>44968</v>
      </c>
      <c r="B226" s="1">
        <v>98</v>
      </c>
      <c r="C226">
        <f t="shared" si="12"/>
        <v>6</v>
      </c>
      <c r="D226">
        <f t="shared" si="13"/>
        <v>2</v>
      </c>
      <c r="E226">
        <f>VLOOKUP(C226,wau!B:C,2,)</f>
        <v>340</v>
      </c>
      <c r="F226">
        <f>VLOOKUP(D226,mau!B:C,2,)</f>
        <v>696</v>
      </c>
      <c r="G226">
        <f t="shared" si="14"/>
        <v>0.28823529411764703</v>
      </c>
      <c r="H226">
        <f t="shared" si="15"/>
        <v>0.14080459770114942</v>
      </c>
    </row>
    <row r="227" spans="1:8" x14ac:dyDescent="0.2">
      <c r="A227" s="2">
        <v>44969</v>
      </c>
      <c r="B227" s="1">
        <v>101</v>
      </c>
      <c r="C227">
        <f t="shared" si="12"/>
        <v>6</v>
      </c>
      <c r="D227">
        <f t="shared" si="13"/>
        <v>2</v>
      </c>
      <c r="E227">
        <f>VLOOKUP(C227,wau!B:C,2,)</f>
        <v>340</v>
      </c>
      <c r="F227">
        <f>VLOOKUP(D227,mau!B:C,2,)</f>
        <v>696</v>
      </c>
      <c r="G227">
        <f t="shared" si="14"/>
        <v>0.29705882352941176</v>
      </c>
      <c r="H227">
        <f t="shared" si="15"/>
        <v>0.14511494252873564</v>
      </c>
    </row>
    <row r="228" spans="1:8" x14ac:dyDescent="0.2">
      <c r="A228" s="2">
        <v>44970</v>
      </c>
      <c r="B228" s="1">
        <v>94</v>
      </c>
      <c r="C228">
        <f t="shared" si="12"/>
        <v>7</v>
      </c>
      <c r="D228">
        <f t="shared" si="13"/>
        <v>2</v>
      </c>
      <c r="E228">
        <f>VLOOKUP(C228,wau!B:C,2,)</f>
        <v>347</v>
      </c>
      <c r="F228">
        <f>VLOOKUP(D228,mau!B:C,2,)</f>
        <v>696</v>
      </c>
      <c r="G228">
        <f t="shared" si="14"/>
        <v>0.27089337175792505</v>
      </c>
      <c r="H228">
        <f t="shared" si="15"/>
        <v>0.13505747126436782</v>
      </c>
    </row>
    <row r="229" spans="1:8" x14ac:dyDescent="0.2">
      <c r="A229" s="2">
        <v>44971</v>
      </c>
      <c r="B229" s="1">
        <v>108</v>
      </c>
      <c r="C229">
        <f t="shared" si="12"/>
        <v>7</v>
      </c>
      <c r="D229">
        <f t="shared" si="13"/>
        <v>2</v>
      </c>
      <c r="E229">
        <f>VLOOKUP(C229,wau!B:C,2,)</f>
        <v>347</v>
      </c>
      <c r="F229">
        <f>VLOOKUP(D229,mau!B:C,2,)</f>
        <v>696</v>
      </c>
      <c r="G229">
        <f t="shared" si="14"/>
        <v>0.31123919308357351</v>
      </c>
      <c r="H229">
        <f t="shared" si="15"/>
        <v>0.15517241379310345</v>
      </c>
    </row>
    <row r="230" spans="1:8" x14ac:dyDescent="0.2">
      <c r="A230" s="2">
        <v>44972</v>
      </c>
      <c r="B230" s="1">
        <v>103</v>
      </c>
      <c r="C230">
        <f t="shared" si="12"/>
        <v>7</v>
      </c>
      <c r="D230">
        <f t="shared" si="13"/>
        <v>2</v>
      </c>
      <c r="E230">
        <f>VLOOKUP(C230,wau!B:C,2,)</f>
        <v>347</v>
      </c>
      <c r="F230">
        <f>VLOOKUP(D230,mau!B:C,2,)</f>
        <v>696</v>
      </c>
      <c r="G230">
        <f t="shared" si="14"/>
        <v>0.29682997118155618</v>
      </c>
      <c r="H230">
        <f t="shared" si="15"/>
        <v>0.14798850574712644</v>
      </c>
    </row>
    <row r="231" spans="1:8" x14ac:dyDescent="0.2">
      <c r="A231" s="2">
        <v>44973</v>
      </c>
      <c r="B231" s="1">
        <v>95</v>
      </c>
      <c r="C231">
        <f t="shared" si="12"/>
        <v>7</v>
      </c>
      <c r="D231">
        <f t="shared" si="13"/>
        <v>2</v>
      </c>
      <c r="E231">
        <f>VLOOKUP(C231,wau!B:C,2,)</f>
        <v>347</v>
      </c>
      <c r="F231">
        <f>VLOOKUP(D231,mau!B:C,2,)</f>
        <v>696</v>
      </c>
      <c r="G231">
        <f t="shared" si="14"/>
        <v>0.2737752161383285</v>
      </c>
      <c r="H231">
        <f t="shared" si="15"/>
        <v>0.13649425287356323</v>
      </c>
    </row>
    <row r="232" spans="1:8" x14ac:dyDescent="0.2">
      <c r="A232" s="2">
        <v>44974</v>
      </c>
      <c r="B232" s="1">
        <v>107</v>
      </c>
      <c r="C232">
        <f t="shared" si="12"/>
        <v>7</v>
      </c>
      <c r="D232">
        <f t="shared" si="13"/>
        <v>2</v>
      </c>
      <c r="E232">
        <f>VLOOKUP(C232,wau!B:C,2,)</f>
        <v>347</v>
      </c>
      <c r="F232">
        <f>VLOOKUP(D232,mau!B:C,2,)</f>
        <v>696</v>
      </c>
      <c r="G232">
        <f t="shared" si="14"/>
        <v>0.30835734870317005</v>
      </c>
      <c r="H232">
        <f t="shared" si="15"/>
        <v>0.15373563218390804</v>
      </c>
    </row>
    <row r="233" spans="1:8" x14ac:dyDescent="0.2">
      <c r="A233" s="2">
        <v>44975</v>
      </c>
      <c r="B233" s="1">
        <v>116</v>
      </c>
      <c r="C233">
        <f t="shared" si="12"/>
        <v>7</v>
      </c>
      <c r="D233">
        <f t="shared" si="13"/>
        <v>2</v>
      </c>
      <c r="E233">
        <f>VLOOKUP(C233,wau!B:C,2,)</f>
        <v>347</v>
      </c>
      <c r="F233">
        <f>VLOOKUP(D233,mau!B:C,2,)</f>
        <v>696</v>
      </c>
      <c r="G233">
        <f t="shared" si="14"/>
        <v>0.33429394812680113</v>
      </c>
      <c r="H233">
        <f t="shared" si="15"/>
        <v>0.16666666666666666</v>
      </c>
    </row>
    <row r="234" spans="1:8" x14ac:dyDescent="0.2">
      <c r="A234" s="2">
        <v>44976</v>
      </c>
      <c r="B234" s="1">
        <v>109</v>
      </c>
      <c r="C234">
        <f t="shared" si="12"/>
        <v>7</v>
      </c>
      <c r="D234">
        <f t="shared" si="13"/>
        <v>2</v>
      </c>
      <c r="E234">
        <f>VLOOKUP(C234,wau!B:C,2,)</f>
        <v>347</v>
      </c>
      <c r="F234">
        <f>VLOOKUP(D234,mau!B:C,2,)</f>
        <v>696</v>
      </c>
      <c r="G234">
        <f t="shared" si="14"/>
        <v>0.31412103746397696</v>
      </c>
      <c r="H234">
        <f t="shared" si="15"/>
        <v>0.15660919540229884</v>
      </c>
    </row>
    <row r="235" spans="1:8" x14ac:dyDescent="0.2">
      <c r="A235" s="2">
        <v>44977</v>
      </c>
      <c r="B235" s="1">
        <v>84</v>
      </c>
      <c r="C235">
        <f t="shared" si="12"/>
        <v>8</v>
      </c>
      <c r="D235">
        <f t="shared" si="13"/>
        <v>2</v>
      </c>
      <c r="E235">
        <f>VLOOKUP(C235,wau!B:C,2,)</f>
        <v>384</v>
      </c>
      <c r="F235">
        <f>VLOOKUP(D235,mau!B:C,2,)</f>
        <v>696</v>
      </c>
      <c r="G235">
        <f t="shared" si="14"/>
        <v>0.21875</v>
      </c>
      <c r="H235">
        <f t="shared" si="15"/>
        <v>0.1206896551724138</v>
      </c>
    </row>
    <row r="236" spans="1:8" x14ac:dyDescent="0.2">
      <c r="A236" s="2">
        <v>44978</v>
      </c>
      <c r="B236" s="1">
        <v>98</v>
      </c>
      <c r="C236">
        <f t="shared" si="12"/>
        <v>8</v>
      </c>
      <c r="D236">
        <f t="shared" si="13"/>
        <v>2</v>
      </c>
      <c r="E236">
        <f>VLOOKUP(C236,wau!B:C,2,)</f>
        <v>384</v>
      </c>
      <c r="F236">
        <f>VLOOKUP(D236,mau!B:C,2,)</f>
        <v>696</v>
      </c>
      <c r="G236">
        <f t="shared" si="14"/>
        <v>0.25520833333333331</v>
      </c>
      <c r="H236">
        <f t="shared" si="15"/>
        <v>0.14080459770114942</v>
      </c>
    </row>
    <row r="237" spans="1:8" x14ac:dyDescent="0.2">
      <c r="A237" s="2">
        <v>44979</v>
      </c>
      <c r="B237" s="1">
        <v>115</v>
      </c>
      <c r="C237">
        <f t="shared" si="12"/>
        <v>8</v>
      </c>
      <c r="D237">
        <f t="shared" si="13"/>
        <v>2</v>
      </c>
      <c r="E237">
        <f>VLOOKUP(C237,wau!B:C,2,)</f>
        <v>384</v>
      </c>
      <c r="F237">
        <f>VLOOKUP(D237,mau!B:C,2,)</f>
        <v>696</v>
      </c>
      <c r="G237">
        <f t="shared" si="14"/>
        <v>0.29947916666666669</v>
      </c>
      <c r="H237">
        <f t="shared" si="15"/>
        <v>0.16522988505747127</v>
      </c>
    </row>
    <row r="238" spans="1:8" x14ac:dyDescent="0.2">
      <c r="A238" s="2">
        <v>44980</v>
      </c>
      <c r="B238" s="1">
        <v>95</v>
      </c>
      <c r="C238">
        <f t="shared" si="12"/>
        <v>8</v>
      </c>
      <c r="D238">
        <f t="shared" si="13"/>
        <v>2</v>
      </c>
      <c r="E238">
        <f>VLOOKUP(C238,wau!B:C,2,)</f>
        <v>384</v>
      </c>
      <c r="F238">
        <f>VLOOKUP(D238,mau!B:C,2,)</f>
        <v>696</v>
      </c>
      <c r="G238">
        <f t="shared" si="14"/>
        <v>0.24739583333333334</v>
      </c>
      <c r="H238">
        <f t="shared" si="15"/>
        <v>0.13649425287356323</v>
      </c>
    </row>
    <row r="239" spans="1:8" x14ac:dyDescent="0.2">
      <c r="A239" s="2">
        <v>44981</v>
      </c>
      <c r="B239" s="1">
        <v>106</v>
      </c>
      <c r="C239">
        <f t="shared" si="12"/>
        <v>8</v>
      </c>
      <c r="D239">
        <f t="shared" si="13"/>
        <v>2</v>
      </c>
      <c r="E239">
        <f>VLOOKUP(C239,wau!B:C,2,)</f>
        <v>384</v>
      </c>
      <c r="F239">
        <f>VLOOKUP(D239,mau!B:C,2,)</f>
        <v>696</v>
      </c>
      <c r="G239">
        <f t="shared" si="14"/>
        <v>0.27604166666666669</v>
      </c>
      <c r="H239">
        <f t="shared" si="15"/>
        <v>0.15229885057471265</v>
      </c>
    </row>
    <row r="240" spans="1:8" x14ac:dyDescent="0.2">
      <c r="A240" s="2">
        <v>44982</v>
      </c>
      <c r="B240" s="1">
        <v>118</v>
      </c>
      <c r="C240">
        <f t="shared" si="12"/>
        <v>8</v>
      </c>
      <c r="D240">
        <f t="shared" si="13"/>
        <v>2</v>
      </c>
      <c r="E240">
        <f>VLOOKUP(C240,wau!B:C,2,)</f>
        <v>384</v>
      </c>
      <c r="F240">
        <f>VLOOKUP(D240,mau!B:C,2,)</f>
        <v>696</v>
      </c>
      <c r="G240">
        <f t="shared" si="14"/>
        <v>0.30729166666666669</v>
      </c>
      <c r="H240">
        <f t="shared" si="15"/>
        <v>0.16954022988505746</v>
      </c>
    </row>
    <row r="241" spans="1:8" x14ac:dyDescent="0.2">
      <c r="A241" s="2">
        <v>44983</v>
      </c>
      <c r="B241" s="1">
        <v>127</v>
      </c>
      <c r="C241">
        <f t="shared" si="12"/>
        <v>8</v>
      </c>
      <c r="D241">
        <f t="shared" si="13"/>
        <v>2</v>
      </c>
      <c r="E241">
        <f>VLOOKUP(C241,wau!B:C,2,)</f>
        <v>384</v>
      </c>
      <c r="F241">
        <f>VLOOKUP(D241,mau!B:C,2,)</f>
        <v>696</v>
      </c>
      <c r="G241">
        <f t="shared" si="14"/>
        <v>0.33072916666666669</v>
      </c>
      <c r="H241">
        <f t="shared" si="15"/>
        <v>0.18247126436781611</v>
      </c>
    </row>
    <row r="242" spans="1:8" x14ac:dyDescent="0.2">
      <c r="A242" s="2">
        <v>44984</v>
      </c>
      <c r="B242" s="1">
        <v>104</v>
      </c>
      <c r="C242">
        <f t="shared" si="12"/>
        <v>9</v>
      </c>
      <c r="D242">
        <f t="shared" si="13"/>
        <v>2</v>
      </c>
      <c r="E242">
        <f>VLOOKUP(C242,wau!B:C,2,)</f>
        <v>611</v>
      </c>
      <c r="F242">
        <f>VLOOKUP(D242,mau!B:C,2,)</f>
        <v>696</v>
      </c>
      <c r="G242">
        <f t="shared" si="14"/>
        <v>0.1702127659574468</v>
      </c>
      <c r="H242">
        <f t="shared" si="15"/>
        <v>0.14942528735632185</v>
      </c>
    </row>
    <row r="243" spans="1:8" x14ac:dyDescent="0.2">
      <c r="A243" s="2">
        <v>44985</v>
      </c>
      <c r="B243" s="1">
        <v>131</v>
      </c>
      <c r="C243">
        <f t="shared" si="12"/>
        <v>9</v>
      </c>
      <c r="D243">
        <f t="shared" si="13"/>
        <v>2</v>
      </c>
      <c r="E243">
        <f>VLOOKUP(C243,wau!B:C,2,)</f>
        <v>611</v>
      </c>
      <c r="F243">
        <f>VLOOKUP(D243,mau!B:C,2,)</f>
        <v>696</v>
      </c>
      <c r="G243">
        <f t="shared" si="14"/>
        <v>0.2144026186579378</v>
      </c>
      <c r="H243">
        <f t="shared" si="15"/>
        <v>0.18821839080459771</v>
      </c>
    </row>
    <row r="244" spans="1:8" x14ac:dyDescent="0.2">
      <c r="A244" s="2">
        <v>44986</v>
      </c>
      <c r="B244" s="1">
        <v>130</v>
      </c>
      <c r="C244">
        <f t="shared" si="12"/>
        <v>9</v>
      </c>
      <c r="D244">
        <f t="shared" si="13"/>
        <v>3</v>
      </c>
      <c r="E244">
        <f>VLOOKUP(C244,wau!B:C,2,)</f>
        <v>611</v>
      </c>
      <c r="F244">
        <f>VLOOKUP(D244,mau!B:C,2,)</f>
        <v>1544</v>
      </c>
      <c r="G244">
        <f t="shared" si="14"/>
        <v>0.21276595744680851</v>
      </c>
      <c r="H244">
        <f t="shared" si="15"/>
        <v>8.4196891191709838E-2</v>
      </c>
    </row>
    <row r="245" spans="1:8" x14ac:dyDescent="0.2">
      <c r="A245" s="2">
        <v>44987</v>
      </c>
      <c r="B245" s="1">
        <v>138</v>
      </c>
      <c r="C245">
        <f t="shared" si="12"/>
        <v>9</v>
      </c>
      <c r="D245">
        <f t="shared" si="13"/>
        <v>3</v>
      </c>
      <c r="E245">
        <f>VLOOKUP(C245,wau!B:C,2,)</f>
        <v>611</v>
      </c>
      <c r="F245">
        <f>VLOOKUP(D245,mau!B:C,2,)</f>
        <v>1544</v>
      </c>
      <c r="G245">
        <f t="shared" si="14"/>
        <v>0.22585924713584288</v>
      </c>
      <c r="H245">
        <f t="shared" si="15"/>
        <v>8.937823834196891E-2</v>
      </c>
    </row>
    <row r="246" spans="1:8" x14ac:dyDescent="0.2">
      <c r="A246" s="2">
        <v>44988</v>
      </c>
      <c r="B246" s="1">
        <v>167</v>
      </c>
      <c r="C246">
        <f t="shared" si="12"/>
        <v>9</v>
      </c>
      <c r="D246">
        <f t="shared" si="13"/>
        <v>3</v>
      </c>
      <c r="E246">
        <f>VLOOKUP(C246,wau!B:C,2,)</f>
        <v>611</v>
      </c>
      <c r="F246">
        <f>VLOOKUP(D246,mau!B:C,2,)</f>
        <v>1544</v>
      </c>
      <c r="G246">
        <f t="shared" si="14"/>
        <v>0.27332242225859249</v>
      </c>
      <c r="H246">
        <f t="shared" si="15"/>
        <v>0.10816062176165803</v>
      </c>
    </row>
    <row r="247" spans="1:8" x14ac:dyDescent="0.2">
      <c r="A247" s="2">
        <v>44989</v>
      </c>
      <c r="B247" s="1">
        <v>170</v>
      </c>
      <c r="C247">
        <f t="shared" si="12"/>
        <v>9</v>
      </c>
      <c r="D247">
        <f t="shared" si="13"/>
        <v>3</v>
      </c>
      <c r="E247">
        <f>VLOOKUP(C247,wau!B:C,2,)</f>
        <v>611</v>
      </c>
      <c r="F247">
        <f>VLOOKUP(D247,mau!B:C,2,)</f>
        <v>1544</v>
      </c>
      <c r="G247">
        <f t="shared" si="14"/>
        <v>0.27823240589198034</v>
      </c>
      <c r="H247">
        <f t="shared" si="15"/>
        <v>0.11010362694300518</v>
      </c>
    </row>
    <row r="248" spans="1:8" x14ac:dyDescent="0.2">
      <c r="A248" s="2">
        <v>44990</v>
      </c>
      <c r="B248" s="1">
        <v>165</v>
      </c>
      <c r="C248">
        <f t="shared" si="12"/>
        <v>9</v>
      </c>
      <c r="D248">
        <f t="shared" si="13"/>
        <v>3</v>
      </c>
      <c r="E248">
        <f>VLOOKUP(C248,wau!B:C,2,)</f>
        <v>611</v>
      </c>
      <c r="F248">
        <f>VLOOKUP(D248,mau!B:C,2,)</f>
        <v>1544</v>
      </c>
      <c r="G248">
        <f t="shared" si="14"/>
        <v>0.27004909983633391</v>
      </c>
      <c r="H248">
        <f t="shared" si="15"/>
        <v>0.10686528497409327</v>
      </c>
    </row>
    <row r="249" spans="1:8" x14ac:dyDescent="0.2">
      <c r="A249" s="2">
        <v>44991</v>
      </c>
      <c r="B249" s="1">
        <v>149</v>
      </c>
      <c r="C249">
        <f t="shared" si="12"/>
        <v>10</v>
      </c>
      <c r="D249">
        <f t="shared" si="13"/>
        <v>3</v>
      </c>
      <c r="E249">
        <f>VLOOKUP(C249,wau!B:C,2,)</f>
        <v>712</v>
      </c>
      <c r="F249">
        <f>VLOOKUP(D249,mau!B:C,2,)</f>
        <v>1544</v>
      </c>
      <c r="G249">
        <f t="shared" si="14"/>
        <v>0.20926966292134833</v>
      </c>
      <c r="H249">
        <f t="shared" si="15"/>
        <v>9.6502590673575125E-2</v>
      </c>
    </row>
    <row r="250" spans="1:8" x14ac:dyDescent="0.2">
      <c r="A250" s="2">
        <v>44992</v>
      </c>
      <c r="B250" s="1">
        <v>151</v>
      </c>
      <c r="C250">
        <f t="shared" si="12"/>
        <v>10</v>
      </c>
      <c r="D250">
        <f t="shared" si="13"/>
        <v>3</v>
      </c>
      <c r="E250">
        <f>VLOOKUP(C250,wau!B:C,2,)</f>
        <v>712</v>
      </c>
      <c r="F250">
        <f>VLOOKUP(D250,mau!B:C,2,)</f>
        <v>1544</v>
      </c>
      <c r="G250">
        <f t="shared" si="14"/>
        <v>0.21207865168539325</v>
      </c>
      <c r="H250">
        <f t="shared" si="15"/>
        <v>9.7797927461139897E-2</v>
      </c>
    </row>
    <row r="251" spans="1:8" x14ac:dyDescent="0.2">
      <c r="A251" s="2">
        <v>44993</v>
      </c>
      <c r="B251" s="1">
        <v>173</v>
      </c>
      <c r="C251">
        <f t="shared" si="12"/>
        <v>10</v>
      </c>
      <c r="D251">
        <f t="shared" si="13"/>
        <v>3</v>
      </c>
      <c r="E251">
        <f>VLOOKUP(C251,wau!B:C,2,)</f>
        <v>712</v>
      </c>
      <c r="F251">
        <f>VLOOKUP(D251,mau!B:C,2,)</f>
        <v>1544</v>
      </c>
      <c r="G251">
        <f t="shared" si="14"/>
        <v>0.24297752808988765</v>
      </c>
      <c r="H251">
        <f t="shared" si="15"/>
        <v>0.11204663212435233</v>
      </c>
    </row>
    <row r="252" spans="1:8" x14ac:dyDescent="0.2">
      <c r="A252" s="2">
        <v>44994</v>
      </c>
      <c r="B252" s="1">
        <v>150</v>
      </c>
      <c r="C252">
        <f t="shared" si="12"/>
        <v>10</v>
      </c>
      <c r="D252">
        <f t="shared" si="13"/>
        <v>3</v>
      </c>
      <c r="E252">
        <f>VLOOKUP(C252,wau!B:C,2,)</f>
        <v>712</v>
      </c>
      <c r="F252">
        <f>VLOOKUP(D252,mau!B:C,2,)</f>
        <v>1544</v>
      </c>
      <c r="G252">
        <f t="shared" si="14"/>
        <v>0.21067415730337077</v>
      </c>
      <c r="H252">
        <f t="shared" si="15"/>
        <v>9.7150259067357511E-2</v>
      </c>
    </row>
    <row r="253" spans="1:8" x14ac:dyDescent="0.2">
      <c r="A253" s="2">
        <v>44995</v>
      </c>
      <c r="B253" s="1">
        <v>162</v>
      </c>
      <c r="C253">
        <f t="shared" si="12"/>
        <v>10</v>
      </c>
      <c r="D253">
        <f t="shared" si="13"/>
        <v>3</v>
      </c>
      <c r="E253">
        <f>VLOOKUP(C253,wau!B:C,2,)</f>
        <v>712</v>
      </c>
      <c r="F253">
        <f>VLOOKUP(D253,mau!B:C,2,)</f>
        <v>1544</v>
      </c>
      <c r="G253">
        <f t="shared" si="14"/>
        <v>0.22752808988764045</v>
      </c>
      <c r="H253">
        <f t="shared" si="15"/>
        <v>0.10492227979274611</v>
      </c>
    </row>
    <row r="254" spans="1:8" x14ac:dyDescent="0.2">
      <c r="A254" s="2">
        <v>44996</v>
      </c>
      <c r="B254" s="1">
        <v>175</v>
      </c>
      <c r="C254">
        <f t="shared" si="12"/>
        <v>10</v>
      </c>
      <c r="D254">
        <f t="shared" si="13"/>
        <v>3</v>
      </c>
      <c r="E254">
        <f>VLOOKUP(C254,wau!B:C,2,)</f>
        <v>712</v>
      </c>
      <c r="F254">
        <f>VLOOKUP(D254,mau!B:C,2,)</f>
        <v>1544</v>
      </c>
      <c r="G254">
        <f t="shared" si="14"/>
        <v>0.24578651685393257</v>
      </c>
      <c r="H254">
        <f t="shared" si="15"/>
        <v>0.1133419689119171</v>
      </c>
    </row>
    <row r="255" spans="1:8" x14ac:dyDescent="0.2">
      <c r="A255" s="2">
        <v>44997</v>
      </c>
      <c r="B255" s="1">
        <v>176</v>
      </c>
      <c r="C255">
        <f t="shared" si="12"/>
        <v>10</v>
      </c>
      <c r="D255">
        <f t="shared" si="13"/>
        <v>3</v>
      </c>
      <c r="E255">
        <f>VLOOKUP(C255,wau!B:C,2,)</f>
        <v>712</v>
      </c>
      <c r="F255">
        <f>VLOOKUP(D255,mau!B:C,2,)</f>
        <v>1544</v>
      </c>
      <c r="G255">
        <f t="shared" si="14"/>
        <v>0.24719101123595505</v>
      </c>
      <c r="H255">
        <f t="shared" si="15"/>
        <v>0.11398963730569948</v>
      </c>
    </row>
    <row r="256" spans="1:8" x14ac:dyDescent="0.2">
      <c r="A256" s="2">
        <v>44998</v>
      </c>
      <c r="B256" s="1">
        <v>180</v>
      </c>
      <c r="C256">
        <f t="shared" si="12"/>
        <v>11</v>
      </c>
      <c r="D256">
        <f t="shared" si="13"/>
        <v>3</v>
      </c>
      <c r="E256">
        <f>VLOOKUP(C256,wau!B:C,2,)</f>
        <v>772</v>
      </c>
      <c r="F256">
        <f>VLOOKUP(D256,mau!B:C,2,)</f>
        <v>1544</v>
      </c>
      <c r="G256">
        <f t="shared" si="14"/>
        <v>0.23316062176165803</v>
      </c>
      <c r="H256">
        <f t="shared" si="15"/>
        <v>0.11658031088082901</v>
      </c>
    </row>
    <row r="257" spans="1:8" x14ac:dyDescent="0.2">
      <c r="A257" s="2">
        <v>44999</v>
      </c>
      <c r="B257" s="1">
        <v>168</v>
      </c>
      <c r="C257">
        <f t="shared" si="12"/>
        <v>11</v>
      </c>
      <c r="D257">
        <f t="shared" si="13"/>
        <v>3</v>
      </c>
      <c r="E257">
        <f>VLOOKUP(C257,wau!B:C,2,)</f>
        <v>772</v>
      </c>
      <c r="F257">
        <f>VLOOKUP(D257,mau!B:C,2,)</f>
        <v>1544</v>
      </c>
      <c r="G257">
        <f t="shared" si="14"/>
        <v>0.21761658031088082</v>
      </c>
      <c r="H257">
        <f t="shared" si="15"/>
        <v>0.10880829015544041</v>
      </c>
    </row>
    <row r="258" spans="1:8" x14ac:dyDescent="0.2">
      <c r="A258" s="2">
        <v>45000</v>
      </c>
      <c r="B258" s="1">
        <v>185</v>
      </c>
      <c r="C258">
        <f t="shared" si="12"/>
        <v>11</v>
      </c>
      <c r="D258">
        <f t="shared" si="13"/>
        <v>3</v>
      </c>
      <c r="E258">
        <f>VLOOKUP(C258,wau!B:C,2,)</f>
        <v>772</v>
      </c>
      <c r="F258">
        <f>VLOOKUP(D258,mau!B:C,2,)</f>
        <v>1544</v>
      </c>
      <c r="G258">
        <f t="shared" si="14"/>
        <v>0.23963730569948186</v>
      </c>
      <c r="H258">
        <f t="shared" si="15"/>
        <v>0.11981865284974093</v>
      </c>
    </row>
    <row r="259" spans="1:8" x14ac:dyDescent="0.2">
      <c r="A259" s="2">
        <v>45001</v>
      </c>
      <c r="B259" s="1">
        <v>181</v>
      </c>
      <c r="C259">
        <f t="shared" ref="C259:C304" si="16">_xlfn.ISOWEEKNUM(A259)</f>
        <v>11</v>
      </c>
      <c r="D259">
        <f t="shared" ref="D259:D304" si="17">MONTH(A259)</f>
        <v>3</v>
      </c>
      <c r="E259">
        <f>VLOOKUP(C259,wau!B:C,2,)</f>
        <v>772</v>
      </c>
      <c r="F259">
        <f>VLOOKUP(D259,mau!B:C,2,)</f>
        <v>1544</v>
      </c>
      <c r="G259">
        <f t="shared" ref="G259:G304" si="18">B259/E259</f>
        <v>0.2344559585492228</v>
      </c>
      <c r="H259">
        <f t="shared" ref="H259:H304" si="19">B259/F259</f>
        <v>0.1172279792746114</v>
      </c>
    </row>
    <row r="260" spans="1:8" x14ac:dyDescent="0.2">
      <c r="A260" s="2">
        <v>45002</v>
      </c>
      <c r="B260" s="1">
        <v>172</v>
      </c>
      <c r="C260">
        <f t="shared" si="16"/>
        <v>11</v>
      </c>
      <c r="D260">
        <f t="shared" si="17"/>
        <v>3</v>
      </c>
      <c r="E260">
        <f>VLOOKUP(C260,wau!B:C,2,)</f>
        <v>772</v>
      </c>
      <c r="F260">
        <f>VLOOKUP(D260,mau!B:C,2,)</f>
        <v>1544</v>
      </c>
      <c r="G260">
        <f t="shared" si="18"/>
        <v>0.22279792746113988</v>
      </c>
      <c r="H260">
        <f t="shared" si="19"/>
        <v>0.11139896373056994</v>
      </c>
    </row>
    <row r="261" spans="1:8" x14ac:dyDescent="0.2">
      <c r="A261" s="2">
        <v>45003</v>
      </c>
      <c r="B261" s="1">
        <v>187</v>
      </c>
      <c r="C261">
        <f t="shared" si="16"/>
        <v>11</v>
      </c>
      <c r="D261">
        <f t="shared" si="17"/>
        <v>3</v>
      </c>
      <c r="E261">
        <f>VLOOKUP(C261,wau!B:C,2,)</f>
        <v>772</v>
      </c>
      <c r="F261">
        <f>VLOOKUP(D261,mau!B:C,2,)</f>
        <v>1544</v>
      </c>
      <c r="G261">
        <f t="shared" si="18"/>
        <v>0.2422279792746114</v>
      </c>
      <c r="H261">
        <f t="shared" si="19"/>
        <v>0.1211139896373057</v>
      </c>
    </row>
    <row r="262" spans="1:8" x14ac:dyDescent="0.2">
      <c r="A262" s="2">
        <v>45004</v>
      </c>
      <c r="B262" s="1">
        <v>218</v>
      </c>
      <c r="C262">
        <f t="shared" si="16"/>
        <v>11</v>
      </c>
      <c r="D262">
        <f t="shared" si="17"/>
        <v>3</v>
      </c>
      <c r="E262">
        <f>VLOOKUP(C262,wau!B:C,2,)</f>
        <v>772</v>
      </c>
      <c r="F262">
        <f>VLOOKUP(D262,mau!B:C,2,)</f>
        <v>1544</v>
      </c>
      <c r="G262">
        <f t="shared" si="18"/>
        <v>0.28238341968911918</v>
      </c>
      <c r="H262">
        <f t="shared" si="19"/>
        <v>0.14119170984455959</v>
      </c>
    </row>
    <row r="263" spans="1:8" x14ac:dyDescent="0.2">
      <c r="A263" s="2">
        <v>45005</v>
      </c>
      <c r="B263" s="1">
        <v>184</v>
      </c>
      <c r="C263">
        <f t="shared" si="16"/>
        <v>12</v>
      </c>
      <c r="D263">
        <f t="shared" si="17"/>
        <v>3</v>
      </c>
      <c r="E263">
        <f>VLOOKUP(C263,wau!B:C,2,)</f>
        <v>656</v>
      </c>
      <c r="F263">
        <f>VLOOKUP(D263,mau!B:C,2,)</f>
        <v>1544</v>
      </c>
      <c r="G263">
        <f t="shared" si="18"/>
        <v>0.28048780487804881</v>
      </c>
      <c r="H263">
        <f t="shared" si="19"/>
        <v>0.11917098445595854</v>
      </c>
    </row>
    <row r="264" spans="1:8" x14ac:dyDescent="0.2">
      <c r="A264" s="2">
        <v>45006</v>
      </c>
      <c r="B264" s="1">
        <v>194</v>
      </c>
      <c r="C264">
        <f t="shared" si="16"/>
        <v>12</v>
      </c>
      <c r="D264">
        <f t="shared" si="17"/>
        <v>3</v>
      </c>
      <c r="E264">
        <f>VLOOKUP(C264,wau!B:C,2,)</f>
        <v>656</v>
      </c>
      <c r="F264">
        <f>VLOOKUP(D264,mau!B:C,2,)</f>
        <v>1544</v>
      </c>
      <c r="G264">
        <f t="shared" si="18"/>
        <v>0.29573170731707316</v>
      </c>
      <c r="H264">
        <f t="shared" si="19"/>
        <v>0.12564766839378239</v>
      </c>
    </row>
    <row r="265" spans="1:8" x14ac:dyDescent="0.2">
      <c r="A265" s="2">
        <v>45007</v>
      </c>
      <c r="B265" s="1">
        <v>131</v>
      </c>
      <c r="C265">
        <f t="shared" si="16"/>
        <v>12</v>
      </c>
      <c r="D265">
        <f t="shared" si="17"/>
        <v>3</v>
      </c>
      <c r="E265">
        <f>VLOOKUP(C265,wau!B:C,2,)</f>
        <v>656</v>
      </c>
      <c r="F265">
        <f>VLOOKUP(D265,mau!B:C,2,)</f>
        <v>1544</v>
      </c>
      <c r="G265">
        <f t="shared" si="18"/>
        <v>0.19969512195121952</v>
      </c>
      <c r="H265">
        <f t="shared" si="19"/>
        <v>8.4844559585492224E-2</v>
      </c>
    </row>
    <row r="266" spans="1:8" x14ac:dyDescent="0.2">
      <c r="A266" s="2">
        <v>45008</v>
      </c>
      <c r="B266" s="1">
        <v>176</v>
      </c>
      <c r="C266">
        <f t="shared" si="16"/>
        <v>12</v>
      </c>
      <c r="D266">
        <f t="shared" si="17"/>
        <v>3</v>
      </c>
      <c r="E266">
        <f>VLOOKUP(C266,wau!B:C,2,)</f>
        <v>656</v>
      </c>
      <c r="F266">
        <f>VLOOKUP(D266,mau!B:C,2,)</f>
        <v>1544</v>
      </c>
      <c r="G266">
        <f t="shared" si="18"/>
        <v>0.26829268292682928</v>
      </c>
      <c r="H266">
        <f t="shared" si="19"/>
        <v>0.11398963730569948</v>
      </c>
    </row>
    <row r="267" spans="1:8" x14ac:dyDescent="0.2">
      <c r="A267" s="2">
        <v>45009</v>
      </c>
      <c r="B267" s="1">
        <v>136</v>
      </c>
      <c r="C267">
        <f t="shared" si="16"/>
        <v>12</v>
      </c>
      <c r="D267">
        <f t="shared" si="17"/>
        <v>3</v>
      </c>
      <c r="E267">
        <f>VLOOKUP(C267,wau!B:C,2,)</f>
        <v>656</v>
      </c>
      <c r="F267">
        <f>VLOOKUP(D267,mau!B:C,2,)</f>
        <v>1544</v>
      </c>
      <c r="G267">
        <f t="shared" si="18"/>
        <v>0.2073170731707317</v>
      </c>
      <c r="H267">
        <f t="shared" si="19"/>
        <v>8.8082901554404139E-2</v>
      </c>
    </row>
    <row r="268" spans="1:8" x14ac:dyDescent="0.2">
      <c r="A268" s="2">
        <v>45010</v>
      </c>
      <c r="B268" s="1">
        <v>153</v>
      </c>
      <c r="C268">
        <f t="shared" si="16"/>
        <v>12</v>
      </c>
      <c r="D268">
        <f t="shared" si="17"/>
        <v>3</v>
      </c>
      <c r="E268">
        <f>VLOOKUP(C268,wau!B:C,2,)</f>
        <v>656</v>
      </c>
      <c r="F268">
        <f>VLOOKUP(D268,mau!B:C,2,)</f>
        <v>1544</v>
      </c>
      <c r="G268">
        <f t="shared" si="18"/>
        <v>0.23323170731707318</v>
      </c>
      <c r="H268">
        <f t="shared" si="19"/>
        <v>9.9093264248704668E-2</v>
      </c>
    </row>
    <row r="269" spans="1:8" x14ac:dyDescent="0.2">
      <c r="A269" s="2">
        <v>45011</v>
      </c>
      <c r="B269" s="1">
        <v>159</v>
      </c>
      <c r="C269">
        <f t="shared" si="16"/>
        <v>12</v>
      </c>
      <c r="D269">
        <f t="shared" si="17"/>
        <v>3</v>
      </c>
      <c r="E269">
        <f>VLOOKUP(C269,wau!B:C,2,)</f>
        <v>656</v>
      </c>
      <c r="F269">
        <f>VLOOKUP(D269,mau!B:C,2,)</f>
        <v>1544</v>
      </c>
      <c r="G269">
        <f t="shared" si="18"/>
        <v>0.2423780487804878</v>
      </c>
      <c r="H269">
        <f t="shared" si="19"/>
        <v>0.10297927461139897</v>
      </c>
    </row>
    <row r="270" spans="1:8" x14ac:dyDescent="0.2">
      <c r="A270" s="2">
        <v>45012</v>
      </c>
      <c r="B270" s="1">
        <v>143</v>
      </c>
      <c r="C270">
        <f t="shared" si="16"/>
        <v>13</v>
      </c>
      <c r="D270">
        <f t="shared" si="17"/>
        <v>3</v>
      </c>
      <c r="E270">
        <f>VLOOKUP(C270,wau!B:C,2,)</f>
        <v>661</v>
      </c>
      <c r="F270">
        <f>VLOOKUP(D270,mau!B:C,2,)</f>
        <v>1544</v>
      </c>
      <c r="G270">
        <f t="shared" si="18"/>
        <v>0.21633888048411498</v>
      </c>
      <c r="H270">
        <f t="shared" si="19"/>
        <v>9.2616580310880825E-2</v>
      </c>
    </row>
    <row r="271" spans="1:8" x14ac:dyDescent="0.2">
      <c r="A271" s="2">
        <v>45013</v>
      </c>
      <c r="B271" s="1">
        <v>156</v>
      </c>
      <c r="C271">
        <f t="shared" si="16"/>
        <v>13</v>
      </c>
      <c r="D271">
        <f t="shared" si="17"/>
        <v>3</v>
      </c>
      <c r="E271">
        <f>VLOOKUP(C271,wau!B:C,2,)</f>
        <v>661</v>
      </c>
      <c r="F271">
        <f>VLOOKUP(D271,mau!B:C,2,)</f>
        <v>1544</v>
      </c>
      <c r="G271">
        <f t="shared" si="18"/>
        <v>0.23600605143721634</v>
      </c>
      <c r="H271">
        <f t="shared" si="19"/>
        <v>0.10103626943005181</v>
      </c>
    </row>
    <row r="272" spans="1:8" x14ac:dyDescent="0.2">
      <c r="A272" s="2">
        <v>45014</v>
      </c>
      <c r="B272" s="1">
        <v>151</v>
      </c>
      <c r="C272">
        <f t="shared" si="16"/>
        <v>13</v>
      </c>
      <c r="D272">
        <f t="shared" si="17"/>
        <v>3</v>
      </c>
      <c r="E272">
        <f>VLOOKUP(C272,wau!B:C,2,)</f>
        <v>661</v>
      </c>
      <c r="F272">
        <f>VLOOKUP(D272,mau!B:C,2,)</f>
        <v>1544</v>
      </c>
      <c r="G272">
        <f t="shared" si="18"/>
        <v>0.22844175491679275</v>
      </c>
      <c r="H272">
        <f t="shared" si="19"/>
        <v>9.7797927461139897E-2</v>
      </c>
    </row>
    <row r="273" spans="1:8" x14ac:dyDescent="0.2">
      <c r="A273" s="2">
        <v>45015</v>
      </c>
      <c r="B273" s="1">
        <v>148</v>
      </c>
      <c r="C273">
        <f t="shared" si="16"/>
        <v>13</v>
      </c>
      <c r="D273">
        <f t="shared" si="17"/>
        <v>3</v>
      </c>
      <c r="E273">
        <f>VLOOKUP(C273,wau!B:C,2,)</f>
        <v>661</v>
      </c>
      <c r="F273">
        <f>VLOOKUP(D273,mau!B:C,2,)</f>
        <v>1544</v>
      </c>
      <c r="G273">
        <f t="shared" si="18"/>
        <v>0.22390317700453857</v>
      </c>
      <c r="H273">
        <f t="shared" si="19"/>
        <v>9.585492227979274E-2</v>
      </c>
    </row>
    <row r="274" spans="1:8" x14ac:dyDescent="0.2">
      <c r="A274" s="2">
        <v>45016</v>
      </c>
      <c r="B274" s="1">
        <v>184</v>
      </c>
      <c r="C274">
        <f t="shared" si="16"/>
        <v>13</v>
      </c>
      <c r="D274">
        <f t="shared" si="17"/>
        <v>3</v>
      </c>
      <c r="E274">
        <f>VLOOKUP(C274,wau!B:C,2,)</f>
        <v>661</v>
      </c>
      <c r="F274">
        <f>VLOOKUP(D274,mau!B:C,2,)</f>
        <v>1544</v>
      </c>
      <c r="G274">
        <f t="shared" si="18"/>
        <v>0.2783661119515885</v>
      </c>
      <c r="H274">
        <f t="shared" si="19"/>
        <v>0.11917098445595854</v>
      </c>
    </row>
    <row r="275" spans="1:8" x14ac:dyDescent="0.2">
      <c r="A275" s="2">
        <v>45017</v>
      </c>
      <c r="B275" s="1">
        <v>204</v>
      </c>
      <c r="C275">
        <f t="shared" si="16"/>
        <v>13</v>
      </c>
      <c r="D275">
        <f t="shared" si="17"/>
        <v>4</v>
      </c>
      <c r="E275">
        <f>VLOOKUP(C275,wau!B:C,2,)</f>
        <v>661</v>
      </c>
      <c r="F275">
        <f>VLOOKUP(D275,mau!B:C,2,)</f>
        <v>1027</v>
      </c>
      <c r="G275">
        <f t="shared" si="18"/>
        <v>0.30862329803328292</v>
      </c>
      <c r="H275">
        <f t="shared" si="19"/>
        <v>0.19863680623174293</v>
      </c>
    </row>
    <row r="276" spans="1:8" x14ac:dyDescent="0.2">
      <c r="A276" s="2">
        <v>45018</v>
      </c>
      <c r="B276" s="1">
        <v>215</v>
      </c>
      <c r="C276">
        <f t="shared" si="16"/>
        <v>13</v>
      </c>
      <c r="D276">
        <f t="shared" si="17"/>
        <v>4</v>
      </c>
      <c r="E276">
        <f>VLOOKUP(C276,wau!B:C,2,)</f>
        <v>661</v>
      </c>
      <c r="F276">
        <f>VLOOKUP(D276,mau!B:C,2,)</f>
        <v>1027</v>
      </c>
      <c r="G276">
        <f t="shared" si="18"/>
        <v>0.32526475037821484</v>
      </c>
      <c r="H276">
        <f t="shared" si="19"/>
        <v>0.20934761441090555</v>
      </c>
    </row>
    <row r="277" spans="1:8" x14ac:dyDescent="0.2">
      <c r="A277" s="2">
        <v>45019</v>
      </c>
      <c r="B277" s="1">
        <v>198</v>
      </c>
      <c r="C277">
        <f t="shared" si="16"/>
        <v>14</v>
      </c>
      <c r="D277">
        <f t="shared" si="17"/>
        <v>4</v>
      </c>
      <c r="E277">
        <f>VLOOKUP(C277,wau!B:C,2,)</f>
        <v>699</v>
      </c>
      <c r="F277">
        <f>VLOOKUP(D277,mau!B:C,2,)</f>
        <v>1027</v>
      </c>
      <c r="G277">
        <f t="shared" si="18"/>
        <v>0.2832618025751073</v>
      </c>
      <c r="H277">
        <f t="shared" si="19"/>
        <v>0.19279454722492698</v>
      </c>
    </row>
    <row r="278" spans="1:8" x14ac:dyDescent="0.2">
      <c r="A278" s="2">
        <v>45020</v>
      </c>
      <c r="B278" s="1">
        <v>199</v>
      </c>
      <c r="C278">
        <f t="shared" si="16"/>
        <v>14</v>
      </c>
      <c r="D278">
        <f t="shared" si="17"/>
        <v>4</v>
      </c>
      <c r="E278">
        <f>VLOOKUP(C278,wau!B:C,2,)</f>
        <v>699</v>
      </c>
      <c r="F278">
        <f>VLOOKUP(D278,mau!B:C,2,)</f>
        <v>1027</v>
      </c>
      <c r="G278">
        <f t="shared" si="18"/>
        <v>0.28469241773962806</v>
      </c>
      <c r="H278">
        <f t="shared" si="19"/>
        <v>0.19376825705939629</v>
      </c>
    </row>
    <row r="279" spans="1:8" x14ac:dyDescent="0.2">
      <c r="A279" s="2">
        <v>45021</v>
      </c>
      <c r="B279" s="1">
        <v>188</v>
      </c>
      <c r="C279">
        <f t="shared" si="16"/>
        <v>14</v>
      </c>
      <c r="D279">
        <f t="shared" si="17"/>
        <v>4</v>
      </c>
      <c r="E279">
        <f>VLOOKUP(C279,wau!B:C,2,)</f>
        <v>699</v>
      </c>
      <c r="F279">
        <f>VLOOKUP(D279,mau!B:C,2,)</f>
        <v>1027</v>
      </c>
      <c r="G279">
        <f t="shared" si="18"/>
        <v>0.26895565092989987</v>
      </c>
      <c r="H279">
        <f t="shared" si="19"/>
        <v>0.1830574488802337</v>
      </c>
    </row>
    <row r="280" spans="1:8" x14ac:dyDescent="0.2">
      <c r="A280" s="2">
        <v>45022</v>
      </c>
      <c r="B280" s="1">
        <v>197</v>
      </c>
      <c r="C280">
        <f t="shared" si="16"/>
        <v>14</v>
      </c>
      <c r="D280">
        <f t="shared" si="17"/>
        <v>4</v>
      </c>
      <c r="E280">
        <f>VLOOKUP(C280,wau!B:C,2,)</f>
        <v>699</v>
      </c>
      <c r="F280">
        <f>VLOOKUP(D280,mau!B:C,2,)</f>
        <v>1027</v>
      </c>
      <c r="G280">
        <f t="shared" si="18"/>
        <v>0.28183118741058655</v>
      </c>
      <c r="H280">
        <f t="shared" si="19"/>
        <v>0.19182083739045763</v>
      </c>
    </row>
    <row r="281" spans="1:8" x14ac:dyDescent="0.2">
      <c r="A281" s="2">
        <v>45023</v>
      </c>
      <c r="B281" s="1">
        <v>192</v>
      </c>
      <c r="C281">
        <f t="shared" si="16"/>
        <v>14</v>
      </c>
      <c r="D281">
        <f t="shared" si="17"/>
        <v>4</v>
      </c>
      <c r="E281">
        <f>VLOOKUP(C281,wau!B:C,2,)</f>
        <v>699</v>
      </c>
      <c r="F281">
        <f>VLOOKUP(D281,mau!B:C,2,)</f>
        <v>1027</v>
      </c>
      <c r="G281">
        <f t="shared" si="18"/>
        <v>0.27467811158798283</v>
      </c>
      <c r="H281">
        <f t="shared" si="19"/>
        <v>0.186952288218111</v>
      </c>
    </row>
    <row r="282" spans="1:8" x14ac:dyDescent="0.2">
      <c r="A282" s="2">
        <v>45024</v>
      </c>
      <c r="B282" s="1">
        <v>200</v>
      </c>
      <c r="C282">
        <f t="shared" si="16"/>
        <v>14</v>
      </c>
      <c r="D282">
        <f t="shared" si="17"/>
        <v>4</v>
      </c>
      <c r="E282">
        <f>VLOOKUP(C282,wau!B:C,2,)</f>
        <v>699</v>
      </c>
      <c r="F282">
        <f>VLOOKUP(D282,mau!B:C,2,)</f>
        <v>1027</v>
      </c>
      <c r="G282">
        <f t="shared" si="18"/>
        <v>0.28612303290414881</v>
      </c>
      <c r="H282">
        <f t="shared" si="19"/>
        <v>0.19474196689386564</v>
      </c>
    </row>
    <row r="283" spans="1:8" x14ac:dyDescent="0.2">
      <c r="A283" s="2">
        <v>45025</v>
      </c>
      <c r="B283" s="1">
        <v>192</v>
      </c>
      <c r="C283">
        <f t="shared" si="16"/>
        <v>14</v>
      </c>
      <c r="D283">
        <f t="shared" si="17"/>
        <v>4</v>
      </c>
      <c r="E283">
        <f>VLOOKUP(C283,wau!B:C,2,)</f>
        <v>699</v>
      </c>
      <c r="F283">
        <f>VLOOKUP(D283,mau!B:C,2,)</f>
        <v>1027</v>
      </c>
      <c r="G283">
        <f t="shared" si="18"/>
        <v>0.27467811158798283</v>
      </c>
      <c r="H283">
        <f t="shared" si="19"/>
        <v>0.186952288218111</v>
      </c>
    </row>
    <row r="284" spans="1:8" x14ac:dyDescent="0.2">
      <c r="A284" s="2">
        <v>45026</v>
      </c>
      <c r="B284" s="1">
        <v>172</v>
      </c>
      <c r="C284">
        <f t="shared" si="16"/>
        <v>15</v>
      </c>
      <c r="D284">
        <f t="shared" si="17"/>
        <v>4</v>
      </c>
      <c r="E284">
        <f>VLOOKUP(C284,wau!B:C,2,)</f>
        <v>614</v>
      </c>
      <c r="F284">
        <f>VLOOKUP(D284,mau!B:C,2,)</f>
        <v>1027</v>
      </c>
      <c r="G284">
        <f t="shared" si="18"/>
        <v>0.28013029315960913</v>
      </c>
      <c r="H284">
        <f t="shared" si="19"/>
        <v>0.16747809152872445</v>
      </c>
    </row>
    <row r="285" spans="1:8" x14ac:dyDescent="0.2">
      <c r="A285" s="2">
        <v>45027</v>
      </c>
      <c r="B285" s="1">
        <v>160</v>
      </c>
      <c r="C285">
        <f t="shared" si="16"/>
        <v>15</v>
      </c>
      <c r="D285">
        <f t="shared" si="17"/>
        <v>4</v>
      </c>
      <c r="E285">
        <f>VLOOKUP(C285,wau!B:C,2,)</f>
        <v>614</v>
      </c>
      <c r="F285">
        <f>VLOOKUP(D285,mau!B:C,2,)</f>
        <v>1027</v>
      </c>
      <c r="G285">
        <f t="shared" si="18"/>
        <v>0.26058631921824105</v>
      </c>
      <c r="H285">
        <f t="shared" si="19"/>
        <v>0.15579357351509251</v>
      </c>
    </row>
    <row r="286" spans="1:8" x14ac:dyDescent="0.2">
      <c r="A286" s="2">
        <v>45028</v>
      </c>
      <c r="B286" s="1">
        <v>168</v>
      </c>
      <c r="C286">
        <f t="shared" si="16"/>
        <v>15</v>
      </c>
      <c r="D286">
        <f t="shared" si="17"/>
        <v>4</v>
      </c>
      <c r="E286">
        <f>VLOOKUP(C286,wau!B:C,2,)</f>
        <v>614</v>
      </c>
      <c r="F286">
        <f>VLOOKUP(D286,mau!B:C,2,)</f>
        <v>1027</v>
      </c>
      <c r="G286">
        <f t="shared" si="18"/>
        <v>0.2736156351791531</v>
      </c>
      <c r="H286">
        <f t="shared" si="19"/>
        <v>0.16358325219084713</v>
      </c>
    </row>
    <row r="287" spans="1:8" x14ac:dyDescent="0.2">
      <c r="A287" s="2">
        <v>45029</v>
      </c>
      <c r="B287" s="1">
        <v>171</v>
      </c>
      <c r="C287">
        <f t="shared" si="16"/>
        <v>15</v>
      </c>
      <c r="D287">
        <f t="shared" si="17"/>
        <v>4</v>
      </c>
      <c r="E287">
        <f>VLOOKUP(C287,wau!B:C,2,)</f>
        <v>614</v>
      </c>
      <c r="F287">
        <f>VLOOKUP(D287,mau!B:C,2,)</f>
        <v>1027</v>
      </c>
      <c r="G287">
        <f t="shared" si="18"/>
        <v>0.27850162866449513</v>
      </c>
      <c r="H287">
        <f t="shared" si="19"/>
        <v>0.1665043816942551</v>
      </c>
    </row>
    <row r="288" spans="1:8" x14ac:dyDescent="0.2">
      <c r="A288" s="2">
        <v>45030</v>
      </c>
      <c r="B288" s="1">
        <v>154</v>
      </c>
      <c r="C288">
        <f t="shared" si="16"/>
        <v>15</v>
      </c>
      <c r="D288">
        <f t="shared" si="17"/>
        <v>4</v>
      </c>
      <c r="E288">
        <f>VLOOKUP(C288,wau!B:C,2,)</f>
        <v>614</v>
      </c>
      <c r="F288">
        <f>VLOOKUP(D288,mau!B:C,2,)</f>
        <v>1027</v>
      </c>
      <c r="G288">
        <f t="shared" si="18"/>
        <v>0.250814332247557</v>
      </c>
      <c r="H288">
        <f t="shared" si="19"/>
        <v>0.14995131450827653</v>
      </c>
    </row>
    <row r="289" spans="1:8" x14ac:dyDescent="0.2">
      <c r="A289" s="2">
        <v>45031</v>
      </c>
      <c r="B289" s="1">
        <v>146</v>
      </c>
      <c r="C289">
        <f t="shared" si="16"/>
        <v>15</v>
      </c>
      <c r="D289">
        <f t="shared" si="17"/>
        <v>4</v>
      </c>
      <c r="E289">
        <f>VLOOKUP(C289,wau!B:C,2,)</f>
        <v>614</v>
      </c>
      <c r="F289">
        <f>VLOOKUP(D289,mau!B:C,2,)</f>
        <v>1027</v>
      </c>
      <c r="G289">
        <f t="shared" si="18"/>
        <v>0.23778501628664495</v>
      </c>
      <c r="H289">
        <f t="shared" si="19"/>
        <v>0.14216163583252192</v>
      </c>
    </row>
    <row r="290" spans="1:8" x14ac:dyDescent="0.2">
      <c r="A290" s="2">
        <v>45032</v>
      </c>
      <c r="B290" s="1">
        <v>166</v>
      </c>
      <c r="C290">
        <f t="shared" si="16"/>
        <v>15</v>
      </c>
      <c r="D290">
        <f t="shared" si="17"/>
        <v>4</v>
      </c>
      <c r="E290">
        <f>VLOOKUP(C290,wau!B:C,2,)</f>
        <v>614</v>
      </c>
      <c r="F290">
        <f>VLOOKUP(D290,mau!B:C,2,)</f>
        <v>1027</v>
      </c>
      <c r="G290">
        <f t="shared" si="18"/>
        <v>0.27035830618892509</v>
      </c>
      <c r="H290">
        <f t="shared" si="19"/>
        <v>0.16163583252190847</v>
      </c>
    </row>
    <row r="291" spans="1:8" x14ac:dyDescent="0.2">
      <c r="A291" s="2">
        <v>45033</v>
      </c>
      <c r="B291" s="1">
        <v>134</v>
      </c>
      <c r="C291">
        <f t="shared" si="16"/>
        <v>16</v>
      </c>
      <c r="D291">
        <f t="shared" si="17"/>
        <v>4</v>
      </c>
      <c r="E291">
        <f>VLOOKUP(C291,wau!B:C,2,)</f>
        <v>545</v>
      </c>
      <c r="F291">
        <f>VLOOKUP(D291,mau!B:C,2,)</f>
        <v>1027</v>
      </c>
      <c r="G291">
        <f t="shared" si="18"/>
        <v>0.24587155963302754</v>
      </c>
      <c r="H291">
        <f t="shared" si="19"/>
        <v>0.13047711781888996</v>
      </c>
    </row>
    <row r="292" spans="1:8" x14ac:dyDescent="0.2">
      <c r="A292" s="2">
        <v>45034</v>
      </c>
      <c r="B292" s="1">
        <v>149</v>
      </c>
      <c r="C292">
        <f t="shared" si="16"/>
        <v>16</v>
      </c>
      <c r="D292">
        <f t="shared" si="17"/>
        <v>4</v>
      </c>
      <c r="E292">
        <f>VLOOKUP(C292,wau!B:C,2,)</f>
        <v>545</v>
      </c>
      <c r="F292">
        <f>VLOOKUP(D292,mau!B:C,2,)</f>
        <v>1027</v>
      </c>
      <c r="G292">
        <f t="shared" si="18"/>
        <v>0.27339449541284405</v>
      </c>
      <c r="H292">
        <f t="shared" si="19"/>
        <v>0.1450827653359299</v>
      </c>
    </row>
    <row r="293" spans="1:8" x14ac:dyDescent="0.2">
      <c r="A293" s="2">
        <v>45035</v>
      </c>
      <c r="B293" s="1">
        <v>132</v>
      </c>
      <c r="C293">
        <f t="shared" si="16"/>
        <v>16</v>
      </c>
      <c r="D293">
        <f t="shared" si="17"/>
        <v>4</v>
      </c>
      <c r="E293">
        <f>VLOOKUP(C293,wau!B:C,2,)</f>
        <v>545</v>
      </c>
      <c r="F293">
        <f>VLOOKUP(D293,mau!B:C,2,)</f>
        <v>1027</v>
      </c>
      <c r="G293">
        <f t="shared" si="18"/>
        <v>0.24220183486238533</v>
      </c>
      <c r="H293">
        <f t="shared" si="19"/>
        <v>0.12852969814995133</v>
      </c>
    </row>
    <row r="294" spans="1:8" x14ac:dyDescent="0.2">
      <c r="A294" s="2">
        <v>45036</v>
      </c>
      <c r="B294" s="1">
        <v>131</v>
      </c>
      <c r="C294">
        <f t="shared" si="16"/>
        <v>16</v>
      </c>
      <c r="D294">
        <f t="shared" si="17"/>
        <v>4</v>
      </c>
      <c r="E294">
        <f>VLOOKUP(C294,wau!B:C,2,)</f>
        <v>545</v>
      </c>
      <c r="F294">
        <f>VLOOKUP(D294,mau!B:C,2,)</f>
        <v>1027</v>
      </c>
      <c r="G294">
        <f t="shared" si="18"/>
        <v>0.24036697247706423</v>
      </c>
      <c r="H294">
        <f t="shared" si="19"/>
        <v>0.12755598831548198</v>
      </c>
    </row>
    <row r="295" spans="1:8" x14ac:dyDescent="0.2">
      <c r="A295" s="2">
        <v>45037</v>
      </c>
      <c r="B295" s="1">
        <v>104</v>
      </c>
      <c r="C295">
        <f t="shared" si="16"/>
        <v>16</v>
      </c>
      <c r="D295">
        <f t="shared" si="17"/>
        <v>4</v>
      </c>
      <c r="E295">
        <f>VLOOKUP(C295,wau!B:C,2,)</f>
        <v>545</v>
      </c>
      <c r="F295">
        <f>VLOOKUP(D295,mau!B:C,2,)</f>
        <v>1027</v>
      </c>
      <c r="G295">
        <f t="shared" si="18"/>
        <v>0.19082568807339451</v>
      </c>
      <c r="H295">
        <f t="shared" si="19"/>
        <v>0.10126582278481013</v>
      </c>
    </row>
    <row r="296" spans="1:8" x14ac:dyDescent="0.2">
      <c r="A296" s="2">
        <v>45038</v>
      </c>
      <c r="B296" s="1">
        <v>105</v>
      </c>
      <c r="C296">
        <f t="shared" si="16"/>
        <v>16</v>
      </c>
      <c r="D296">
        <f t="shared" si="17"/>
        <v>4</v>
      </c>
      <c r="E296">
        <f>VLOOKUP(C296,wau!B:C,2,)</f>
        <v>545</v>
      </c>
      <c r="F296">
        <f>VLOOKUP(D296,mau!B:C,2,)</f>
        <v>1027</v>
      </c>
      <c r="G296">
        <f t="shared" si="18"/>
        <v>0.19266055045871561</v>
      </c>
      <c r="H296">
        <f t="shared" si="19"/>
        <v>0.10223953261927946</v>
      </c>
    </row>
    <row r="297" spans="1:8" x14ac:dyDescent="0.2">
      <c r="A297" s="2">
        <v>45039</v>
      </c>
      <c r="B297" s="1">
        <v>105</v>
      </c>
      <c r="C297">
        <f t="shared" si="16"/>
        <v>16</v>
      </c>
      <c r="D297">
        <f t="shared" si="17"/>
        <v>4</v>
      </c>
      <c r="E297">
        <f>VLOOKUP(C297,wau!B:C,2,)</f>
        <v>545</v>
      </c>
      <c r="F297">
        <f>VLOOKUP(D297,mau!B:C,2,)</f>
        <v>1027</v>
      </c>
      <c r="G297">
        <f t="shared" si="18"/>
        <v>0.19266055045871561</v>
      </c>
      <c r="H297">
        <f t="shared" si="19"/>
        <v>0.10223953261927946</v>
      </c>
    </row>
    <row r="298" spans="1:8" x14ac:dyDescent="0.2">
      <c r="A298" s="2">
        <v>45040</v>
      </c>
      <c r="B298" s="1">
        <v>90</v>
      </c>
      <c r="C298">
        <f t="shared" si="16"/>
        <v>17</v>
      </c>
      <c r="D298">
        <f t="shared" si="17"/>
        <v>4</v>
      </c>
      <c r="E298">
        <f>VLOOKUP(C298,wau!B:C,2,)</f>
        <v>422</v>
      </c>
      <c r="F298">
        <f>VLOOKUP(D298,mau!B:C,2,)</f>
        <v>1027</v>
      </c>
      <c r="G298">
        <f t="shared" si="18"/>
        <v>0.2132701421800948</v>
      </c>
      <c r="H298">
        <f t="shared" si="19"/>
        <v>8.7633885102239531E-2</v>
      </c>
    </row>
    <row r="299" spans="1:8" x14ac:dyDescent="0.2">
      <c r="A299" s="2">
        <v>45041</v>
      </c>
      <c r="B299" s="1">
        <v>101</v>
      </c>
      <c r="C299">
        <f t="shared" si="16"/>
        <v>17</v>
      </c>
      <c r="D299">
        <f t="shared" si="17"/>
        <v>4</v>
      </c>
      <c r="E299">
        <f>VLOOKUP(C299,wau!B:C,2,)</f>
        <v>422</v>
      </c>
      <c r="F299">
        <f>VLOOKUP(D299,mau!B:C,2,)</f>
        <v>1027</v>
      </c>
      <c r="G299">
        <f t="shared" si="18"/>
        <v>0.23933649289099526</v>
      </c>
      <c r="H299">
        <f t="shared" si="19"/>
        <v>9.8344693281402148E-2</v>
      </c>
    </row>
    <row r="300" spans="1:8" x14ac:dyDescent="0.2">
      <c r="A300" s="2">
        <v>45042</v>
      </c>
      <c r="B300" s="1">
        <v>92</v>
      </c>
      <c r="C300">
        <f t="shared" si="16"/>
        <v>17</v>
      </c>
      <c r="D300">
        <f t="shared" si="17"/>
        <v>4</v>
      </c>
      <c r="E300">
        <f>VLOOKUP(C300,wau!B:C,2,)</f>
        <v>422</v>
      </c>
      <c r="F300">
        <f>VLOOKUP(D300,mau!B:C,2,)</f>
        <v>1027</v>
      </c>
      <c r="G300">
        <f t="shared" si="18"/>
        <v>0.21800947867298578</v>
      </c>
      <c r="H300">
        <f t="shared" si="19"/>
        <v>8.9581304771178191E-2</v>
      </c>
    </row>
    <row r="301" spans="1:8" x14ac:dyDescent="0.2">
      <c r="A301" s="2">
        <v>45043</v>
      </c>
      <c r="B301" s="1">
        <v>68</v>
      </c>
      <c r="C301">
        <f t="shared" si="16"/>
        <v>17</v>
      </c>
      <c r="D301">
        <f t="shared" si="17"/>
        <v>4</v>
      </c>
      <c r="E301">
        <f>VLOOKUP(C301,wau!B:C,2,)</f>
        <v>422</v>
      </c>
      <c r="F301">
        <f>VLOOKUP(D301,mau!B:C,2,)</f>
        <v>1027</v>
      </c>
      <c r="G301">
        <f t="shared" si="18"/>
        <v>0.16113744075829384</v>
      </c>
      <c r="H301">
        <f t="shared" si="19"/>
        <v>6.621226874391431E-2</v>
      </c>
    </row>
    <row r="302" spans="1:8" x14ac:dyDescent="0.2">
      <c r="A302" s="2">
        <v>45044</v>
      </c>
      <c r="B302" s="1">
        <v>75</v>
      </c>
      <c r="C302">
        <f t="shared" si="16"/>
        <v>17</v>
      </c>
      <c r="D302">
        <f t="shared" si="17"/>
        <v>4</v>
      </c>
      <c r="E302">
        <f>VLOOKUP(C302,wau!B:C,2,)</f>
        <v>422</v>
      </c>
      <c r="F302">
        <f>VLOOKUP(D302,mau!B:C,2,)</f>
        <v>1027</v>
      </c>
      <c r="G302">
        <f t="shared" si="18"/>
        <v>0.17772511848341233</v>
      </c>
      <c r="H302">
        <f t="shared" si="19"/>
        <v>7.3028237585199607E-2</v>
      </c>
    </row>
    <row r="303" spans="1:8" x14ac:dyDescent="0.2">
      <c r="A303" s="2">
        <v>45045</v>
      </c>
      <c r="B303" s="1">
        <v>73</v>
      </c>
      <c r="C303">
        <f t="shared" si="16"/>
        <v>17</v>
      </c>
      <c r="D303">
        <f t="shared" si="17"/>
        <v>4</v>
      </c>
      <c r="E303">
        <f>VLOOKUP(C303,wau!B:C,2,)</f>
        <v>422</v>
      </c>
      <c r="F303">
        <f>VLOOKUP(D303,mau!B:C,2,)</f>
        <v>1027</v>
      </c>
      <c r="G303">
        <f t="shared" si="18"/>
        <v>0.17298578199052134</v>
      </c>
      <c r="H303">
        <f t="shared" si="19"/>
        <v>7.108081791626096E-2</v>
      </c>
    </row>
    <row r="304" spans="1:8" x14ac:dyDescent="0.2">
      <c r="A304" s="2">
        <v>45046</v>
      </c>
      <c r="B304" s="1">
        <v>71</v>
      </c>
      <c r="C304">
        <f t="shared" si="16"/>
        <v>17</v>
      </c>
      <c r="D304">
        <f t="shared" si="17"/>
        <v>4</v>
      </c>
      <c r="E304">
        <f>VLOOKUP(C304,wau!B:C,2,)</f>
        <v>422</v>
      </c>
      <c r="F304">
        <f>VLOOKUP(D304,mau!B:C,2,)</f>
        <v>1027</v>
      </c>
      <c r="G304">
        <f t="shared" si="18"/>
        <v>0.16824644549763032</v>
      </c>
      <c r="H304">
        <f t="shared" si="19"/>
        <v>6.91333982473223E-2</v>
      </c>
    </row>
  </sheetData>
  <autoFilter ref="A1:B1" xr:uid="{00000000-0009-0000-0000-000000000000}"/>
  <mergeCells count="2">
    <mergeCell ref="T5:X8"/>
    <mergeCell ref="U30:Y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1AAE-7F77-4240-BE7E-E0D9D34FC41E}">
  <dimension ref="A1:C45"/>
  <sheetViews>
    <sheetView workbookViewId="0">
      <selection activeCell="B2" sqref="B2:B45"/>
    </sheetView>
  </sheetViews>
  <sheetFormatPr baseColWidth="10" defaultRowHeight="15" x14ac:dyDescent="0.2"/>
  <cols>
    <col min="1" max="1" width="11.6640625" style="2" customWidth="1"/>
    <col min="2" max="2" width="12.83203125" customWidth="1"/>
    <col min="3" max="3" width="9" customWidth="1"/>
  </cols>
  <sheetData>
    <row r="1" spans="1:3" x14ac:dyDescent="0.2">
      <c r="A1" s="2" t="s">
        <v>2</v>
      </c>
      <c r="B1" t="s">
        <v>6</v>
      </c>
      <c r="C1" t="s">
        <v>4</v>
      </c>
    </row>
    <row r="2" spans="1:3" x14ac:dyDescent="0.2">
      <c r="A2" s="2">
        <v>44739</v>
      </c>
      <c r="B2" s="3">
        <f>_xlfn.ISOWEEKNUM(A2)</f>
        <v>26</v>
      </c>
      <c r="C2" s="1">
        <v>6</v>
      </c>
    </row>
    <row r="3" spans="1:3" x14ac:dyDescent="0.2">
      <c r="A3" s="2">
        <v>44746</v>
      </c>
      <c r="B3" s="3">
        <f t="shared" ref="B3:B45" si="0">_xlfn.ISOWEEKNUM(A3)</f>
        <v>27</v>
      </c>
      <c r="C3" s="1">
        <v>59</v>
      </c>
    </row>
    <row r="4" spans="1:3" x14ac:dyDescent="0.2">
      <c r="A4" s="2">
        <v>44753</v>
      </c>
      <c r="B4" s="3">
        <f t="shared" si="0"/>
        <v>28</v>
      </c>
      <c r="C4" s="1">
        <v>92</v>
      </c>
    </row>
    <row r="5" spans="1:3" x14ac:dyDescent="0.2">
      <c r="A5" s="2">
        <v>44760</v>
      </c>
      <c r="B5" s="3">
        <f t="shared" si="0"/>
        <v>29</v>
      </c>
      <c r="C5" s="1">
        <v>133</v>
      </c>
    </row>
    <row r="6" spans="1:3" x14ac:dyDescent="0.2">
      <c r="A6" s="2">
        <v>44767</v>
      </c>
      <c r="B6" s="3">
        <f t="shared" si="0"/>
        <v>30</v>
      </c>
      <c r="C6" s="1">
        <v>183</v>
      </c>
    </row>
    <row r="7" spans="1:3" x14ac:dyDescent="0.2">
      <c r="A7" s="2">
        <v>44774</v>
      </c>
      <c r="B7" s="3">
        <f t="shared" si="0"/>
        <v>31</v>
      </c>
      <c r="C7" s="1">
        <v>202</v>
      </c>
    </row>
    <row r="8" spans="1:3" x14ac:dyDescent="0.2">
      <c r="A8" s="2">
        <v>44781</v>
      </c>
      <c r="B8" s="3">
        <f t="shared" si="0"/>
        <v>32</v>
      </c>
      <c r="C8" s="1">
        <v>193</v>
      </c>
    </row>
    <row r="9" spans="1:3" x14ac:dyDescent="0.2">
      <c r="A9" s="2">
        <v>44788</v>
      </c>
      <c r="B9" s="3">
        <f t="shared" si="0"/>
        <v>33</v>
      </c>
      <c r="C9" s="1">
        <v>201</v>
      </c>
    </row>
    <row r="10" spans="1:3" x14ac:dyDescent="0.2">
      <c r="A10" s="2">
        <v>44795</v>
      </c>
      <c r="B10" s="3">
        <f t="shared" si="0"/>
        <v>34</v>
      </c>
      <c r="C10" s="1">
        <v>206</v>
      </c>
    </row>
    <row r="11" spans="1:3" x14ac:dyDescent="0.2">
      <c r="A11" s="2">
        <v>44802</v>
      </c>
      <c r="B11" s="3">
        <f t="shared" si="0"/>
        <v>35</v>
      </c>
      <c r="C11" s="1">
        <v>192</v>
      </c>
    </row>
    <row r="12" spans="1:3" x14ac:dyDescent="0.2">
      <c r="A12" s="2">
        <v>44809</v>
      </c>
      <c r="B12" s="3">
        <f t="shared" si="0"/>
        <v>36</v>
      </c>
      <c r="C12" s="1">
        <v>196</v>
      </c>
    </row>
    <row r="13" spans="1:3" x14ac:dyDescent="0.2">
      <c r="A13" s="2">
        <v>44816</v>
      </c>
      <c r="B13" s="3">
        <f t="shared" si="0"/>
        <v>37</v>
      </c>
      <c r="C13" s="1">
        <v>205</v>
      </c>
    </row>
    <row r="14" spans="1:3" x14ac:dyDescent="0.2">
      <c r="A14" s="2">
        <v>44823</v>
      </c>
      <c r="B14" s="3">
        <f t="shared" si="0"/>
        <v>38</v>
      </c>
      <c r="C14" s="1">
        <v>213</v>
      </c>
    </row>
    <row r="15" spans="1:3" x14ac:dyDescent="0.2">
      <c r="A15" s="2">
        <v>44830</v>
      </c>
      <c r="B15" s="3">
        <f t="shared" si="0"/>
        <v>39</v>
      </c>
      <c r="C15" s="1">
        <v>208</v>
      </c>
    </row>
    <row r="16" spans="1:3" x14ac:dyDescent="0.2">
      <c r="A16" s="2">
        <v>44837</v>
      </c>
      <c r="B16" s="3">
        <f t="shared" si="0"/>
        <v>40</v>
      </c>
      <c r="C16" s="1">
        <v>207</v>
      </c>
    </row>
    <row r="17" spans="1:3" x14ac:dyDescent="0.2">
      <c r="A17" s="2">
        <v>44844</v>
      </c>
      <c r="B17" s="3">
        <f t="shared" si="0"/>
        <v>41</v>
      </c>
      <c r="C17" s="1">
        <v>204</v>
      </c>
    </row>
    <row r="18" spans="1:3" x14ac:dyDescent="0.2">
      <c r="A18" s="2">
        <v>44851</v>
      </c>
      <c r="B18" s="3">
        <f t="shared" si="0"/>
        <v>42</v>
      </c>
      <c r="C18" s="1">
        <v>201</v>
      </c>
    </row>
    <row r="19" spans="1:3" x14ac:dyDescent="0.2">
      <c r="A19" s="2">
        <v>44858</v>
      </c>
      <c r="B19" s="3">
        <f t="shared" si="0"/>
        <v>43</v>
      </c>
      <c r="C19" s="1">
        <v>213</v>
      </c>
    </row>
    <row r="20" spans="1:3" x14ac:dyDescent="0.2">
      <c r="A20" s="2">
        <v>44865</v>
      </c>
      <c r="B20" s="3">
        <f t="shared" si="0"/>
        <v>44</v>
      </c>
      <c r="C20" s="1">
        <v>214</v>
      </c>
    </row>
    <row r="21" spans="1:3" x14ac:dyDescent="0.2">
      <c r="A21" s="2">
        <v>44872</v>
      </c>
      <c r="B21" s="3">
        <f t="shared" si="0"/>
        <v>45</v>
      </c>
      <c r="C21" s="1">
        <v>203</v>
      </c>
    </row>
    <row r="22" spans="1:3" x14ac:dyDescent="0.2">
      <c r="A22" s="2">
        <v>44879</v>
      </c>
      <c r="B22" s="3">
        <f t="shared" si="0"/>
        <v>46</v>
      </c>
      <c r="C22" s="1">
        <v>202</v>
      </c>
    </row>
    <row r="23" spans="1:3" x14ac:dyDescent="0.2">
      <c r="A23" s="2">
        <v>44886</v>
      </c>
      <c r="B23" s="3">
        <f t="shared" si="0"/>
        <v>47</v>
      </c>
      <c r="C23" s="1">
        <v>167</v>
      </c>
    </row>
    <row r="24" spans="1:3" x14ac:dyDescent="0.2">
      <c r="A24" s="2">
        <v>44893</v>
      </c>
      <c r="B24" s="3">
        <f t="shared" si="0"/>
        <v>48</v>
      </c>
      <c r="C24" s="1">
        <v>157</v>
      </c>
    </row>
    <row r="25" spans="1:3" x14ac:dyDescent="0.2">
      <c r="A25" s="2">
        <v>44900</v>
      </c>
      <c r="B25" s="3">
        <f t="shared" si="0"/>
        <v>49</v>
      </c>
      <c r="C25" s="1">
        <v>156</v>
      </c>
    </row>
    <row r="26" spans="1:3" x14ac:dyDescent="0.2">
      <c r="A26" s="2">
        <v>44907</v>
      </c>
      <c r="B26" s="3">
        <f t="shared" si="0"/>
        <v>50</v>
      </c>
      <c r="C26" s="1">
        <v>153</v>
      </c>
    </row>
    <row r="27" spans="1:3" x14ac:dyDescent="0.2">
      <c r="A27" s="2">
        <v>44914</v>
      </c>
      <c r="B27" s="3">
        <f t="shared" si="0"/>
        <v>51</v>
      </c>
      <c r="C27" s="1">
        <v>145</v>
      </c>
    </row>
    <row r="28" spans="1:3" x14ac:dyDescent="0.2">
      <c r="A28" s="2">
        <v>44921</v>
      </c>
      <c r="B28" s="3">
        <f t="shared" si="0"/>
        <v>52</v>
      </c>
      <c r="C28" s="1">
        <v>141</v>
      </c>
    </row>
    <row r="29" spans="1:3" x14ac:dyDescent="0.2">
      <c r="A29" s="2">
        <v>44928</v>
      </c>
      <c r="B29" s="3">
        <f t="shared" si="0"/>
        <v>1</v>
      </c>
      <c r="C29" s="1">
        <v>190</v>
      </c>
    </row>
    <row r="30" spans="1:3" x14ac:dyDescent="0.2">
      <c r="A30" s="2">
        <v>44935</v>
      </c>
      <c r="B30" s="3">
        <f t="shared" si="0"/>
        <v>2</v>
      </c>
      <c r="C30" s="1">
        <v>233</v>
      </c>
    </row>
    <row r="31" spans="1:3" x14ac:dyDescent="0.2">
      <c r="A31" s="2">
        <v>44942</v>
      </c>
      <c r="B31" s="3">
        <f t="shared" si="0"/>
        <v>3</v>
      </c>
      <c r="C31" s="1">
        <v>272</v>
      </c>
    </row>
    <row r="32" spans="1:3" x14ac:dyDescent="0.2">
      <c r="A32" s="2">
        <v>44949</v>
      </c>
      <c r="B32" s="3">
        <f t="shared" si="0"/>
        <v>4</v>
      </c>
      <c r="C32" s="1">
        <v>295</v>
      </c>
    </row>
    <row r="33" spans="1:3" x14ac:dyDescent="0.2">
      <c r="A33" s="2">
        <v>44956</v>
      </c>
      <c r="B33" s="3">
        <f t="shared" si="0"/>
        <v>5</v>
      </c>
      <c r="C33" s="1">
        <v>346</v>
      </c>
    </row>
    <row r="34" spans="1:3" x14ac:dyDescent="0.2">
      <c r="A34" s="2">
        <v>44963</v>
      </c>
      <c r="B34" s="3">
        <f t="shared" si="0"/>
        <v>6</v>
      </c>
      <c r="C34" s="1">
        <v>340</v>
      </c>
    </row>
    <row r="35" spans="1:3" x14ac:dyDescent="0.2">
      <c r="A35" s="2">
        <v>44970</v>
      </c>
      <c r="B35" s="3">
        <f t="shared" si="0"/>
        <v>7</v>
      </c>
      <c r="C35" s="1">
        <v>347</v>
      </c>
    </row>
    <row r="36" spans="1:3" x14ac:dyDescent="0.2">
      <c r="A36" s="2">
        <v>44977</v>
      </c>
      <c r="B36" s="3">
        <f t="shared" si="0"/>
        <v>8</v>
      </c>
      <c r="C36" s="1">
        <v>384</v>
      </c>
    </row>
    <row r="37" spans="1:3" x14ac:dyDescent="0.2">
      <c r="A37" s="2">
        <v>44984</v>
      </c>
      <c r="B37" s="3">
        <f t="shared" si="0"/>
        <v>9</v>
      </c>
      <c r="C37" s="1">
        <v>611</v>
      </c>
    </row>
    <row r="38" spans="1:3" x14ac:dyDescent="0.2">
      <c r="A38" s="2">
        <v>44991</v>
      </c>
      <c r="B38" s="3">
        <f t="shared" si="0"/>
        <v>10</v>
      </c>
      <c r="C38" s="1">
        <v>712</v>
      </c>
    </row>
    <row r="39" spans="1:3" x14ac:dyDescent="0.2">
      <c r="A39" s="2">
        <v>44998</v>
      </c>
      <c r="B39" s="3">
        <f t="shared" si="0"/>
        <v>11</v>
      </c>
      <c r="C39" s="1">
        <v>772</v>
      </c>
    </row>
    <row r="40" spans="1:3" x14ac:dyDescent="0.2">
      <c r="A40" s="2">
        <v>45005</v>
      </c>
      <c r="B40" s="3">
        <f t="shared" si="0"/>
        <v>12</v>
      </c>
      <c r="C40" s="1">
        <v>656</v>
      </c>
    </row>
    <row r="41" spans="1:3" x14ac:dyDescent="0.2">
      <c r="A41" s="2">
        <v>45012</v>
      </c>
      <c r="B41" s="3">
        <f t="shared" si="0"/>
        <v>13</v>
      </c>
      <c r="C41" s="1">
        <v>661</v>
      </c>
    </row>
    <row r="42" spans="1:3" x14ac:dyDescent="0.2">
      <c r="A42" s="2">
        <v>45019</v>
      </c>
      <c r="B42" s="3">
        <f t="shared" si="0"/>
        <v>14</v>
      </c>
      <c r="C42" s="1">
        <v>699</v>
      </c>
    </row>
    <row r="43" spans="1:3" x14ac:dyDescent="0.2">
      <c r="A43" s="2">
        <v>45026</v>
      </c>
      <c r="B43" s="3">
        <f t="shared" si="0"/>
        <v>15</v>
      </c>
      <c r="C43" s="1">
        <v>614</v>
      </c>
    </row>
    <row r="44" spans="1:3" x14ac:dyDescent="0.2">
      <c r="A44" s="2">
        <v>45033</v>
      </c>
      <c r="B44" s="3">
        <f t="shared" si="0"/>
        <v>16</v>
      </c>
      <c r="C44" s="1">
        <v>545</v>
      </c>
    </row>
    <row r="45" spans="1:3" x14ac:dyDescent="0.2">
      <c r="A45" s="2">
        <v>45040</v>
      </c>
      <c r="B45" s="3">
        <f t="shared" si="0"/>
        <v>17</v>
      </c>
      <c r="C45" s="1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C074-A36F-2A46-98FC-C6DC7E03B4FC}">
  <dimension ref="A1:C11"/>
  <sheetViews>
    <sheetView workbookViewId="0">
      <selection activeCell="B2" sqref="B2:B11"/>
    </sheetView>
  </sheetViews>
  <sheetFormatPr baseColWidth="10" defaultRowHeight="15" x14ac:dyDescent="0.2"/>
  <cols>
    <col min="1" max="1" width="22.6640625" style="2" bestFit="1" customWidth="1"/>
    <col min="2" max="2" width="11.83203125" style="2" customWidth="1"/>
  </cols>
  <sheetData>
    <row r="1" spans="1:3" x14ac:dyDescent="0.2">
      <c r="A1" s="2" t="s">
        <v>3</v>
      </c>
      <c r="B1" s="2" t="s">
        <v>8</v>
      </c>
      <c r="C1" t="s">
        <v>7</v>
      </c>
    </row>
    <row r="2" spans="1:3" x14ac:dyDescent="0.2">
      <c r="A2" s="2">
        <v>44743</v>
      </c>
      <c r="B2" s="3">
        <f>MONTH(A2)</f>
        <v>7</v>
      </c>
      <c r="C2" s="1">
        <v>193</v>
      </c>
    </row>
    <row r="3" spans="1:3" x14ac:dyDescent="0.2">
      <c r="A3" s="2">
        <v>44774</v>
      </c>
      <c r="B3" s="3">
        <f t="shared" ref="B3:B11" si="0">MONTH(A3)</f>
        <v>8</v>
      </c>
      <c r="C3" s="1">
        <v>366</v>
      </c>
    </row>
    <row r="4" spans="1:3" x14ac:dyDescent="0.2">
      <c r="A4" s="2">
        <v>44805</v>
      </c>
      <c r="B4" s="3">
        <f t="shared" si="0"/>
        <v>9</v>
      </c>
      <c r="C4" s="1">
        <v>378</v>
      </c>
    </row>
    <row r="5" spans="1:3" x14ac:dyDescent="0.2">
      <c r="A5" s="2">
        <v>44835</v>
      </c>
      <c r="B5" s="3">
        <f t="shared" si="0"/>
        <v>10</v>
      </c>
      <c r="C5" s="1">
        <v>393</v>
      </c>
    </row>
    <row r="6" spans="1:3" x14ac:dyDescent="0.2">
      <c r="A6" s="2">
        <v>44866</v>
      </c>
      <c r="B6" s="3">
        <f t="shared" si="0"/>
        <v>11</v>
      </c>
      <c r="C6" s="1">
        <v>426</v>
      </c>
    </row>
    <row r="7" spans="1:3" x14ac:dyDescent="0.2">
      <c r="A7" s="2">
        <v>44896</v>
      </c>
      <c r="B7" s="3">
        <f t="shared" si="0"/>
        <v>12</v>
      </c>
      <c r="C7" s="1">
        <v>390</v>
      </c>
    </row>
    <row r="8" spans="1:3" x14ac:dyDescent="0.2">
      <c r="A8" s="2">
        <v>44927</v>
      </c>
      <c r="B8" s="3">
        <f t="shared" si="0"/>
        <v>1</v>
      </c>
      <c r="C8" s="1">
        <v>536</v>
      </c>
    </row>
    <row r="9" spans="1:3" x14ac:dyDescent="0.2">
      <c r="A9" s="2">
        <v>44958</v>
      </c>
      <c r="B9" s="3">
        <f t="shared" si="0"/>
        <v>2</v>
      </c>
      <c r="C9" s="1">
        <v>696</v>
      </c>
    </row>
    <row r="10" spans="1:3" x14ac:dyDescent="0.2">
      <c r="A10" s="2">
        <v>44986</v>
      </c>
      <c r="B10" s="3">
        <f t="shared" si="0"/>
        <v>3</v>
      </c>
      <c r="C10" s="1">
        <v>1544</v>
      </c>
    </row>
    <row r="11" spans="1:3" x14ac:dyDescent="0.2">
      <c r="A11" s="2">
        <v>45017</v>
      </c>
      <c r="B11" s="3">
        <f t="shared" si="0"/>
        <v>4</v>
      </c>
      <c r="C11" s="1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Результат запроса</vt:lpstr>
      <vt:lpstr>wau</vt:lpstr>
      <vt:lpstr>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Дарья Дарья</cp:lastModifiedBy>
  <dcterms:created xsi:type="dcterms:W3CDTF">2026-08-23T21:22:41Z</dcterms:created>
  <dcterms:modified xsi:type="dcterms:W3CDTF">2026-08-23T21:51:07Z</dcterms:modified>
</cp:coreProperties>
</file>